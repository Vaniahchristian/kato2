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FEED392C-E195-4B20-B14D-D8A65F490C02}" xr6:coauthVersionLast="47" xr6:coauthVersionMax="47" xr10:uidLastSave="{00000000-0000-0000-0000-000000000000}"/>
  <bookViews>
    <workbookView xWindow="-98" yWindow="-98" windowWidth="19396" windowHeight="11475" xr2:uid="{64F5446F-B6E4-49D6-8148-73E8937456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" i="2"/>
  <c r="U5" i="2"/>
  <c r="C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C61" i="1"/>
  <c r="R60" i="1"/>
  <c r="N60" i="1"/>
  <c r="H60" i="1"/>
  <c r="R59" i="1"/>
  <c r="N59" i="1"/>
  <c r="H59" i="1"/>
  <c r="R58" i="1"/>
  <c r="N58" i="1"/>
  <c r="L58" i="1"/>
  <c r="I58" i="1"/>
  <c r="K58" i="1" s="1"/>
  <c r="H58" i="1"/>
  <c r="R57" i="1"/>
  <c r="N57" i="1"/>
  <c r="H57" i="1"/>
  <c r="R56" i="1"/>
  <c r="N56" i="1"/>
  <c r="H56" i="1"/>
  <c r="R55" i="1"/>
  <c r="L50" i="1" s="1"/>
  <c r="N55" i="1"/>
  <c r="H55" i="1"/>
  <c r="R54" i="1"/>
  <c r="N54" i="1"/>
  <c r="H54" i="1"/>
  <c r="R53" i="1"/>
  <c r="N53" i="1"/>
  <c r="H53" i="1"/>
  <c r="R52" i="1"/>
  <c r="N52" i="1"/>
  <c r="H52" i="1"/>
  <c r="R51" i="1"/>
  <c r="N51" i="1"/>
  <c r="H51" i="1"/>
  <c r="R50" i="1"/>
  <c r="N50" i="1"/>
  <c r="H50" i="1"/>
  <c r="I50" i="1" s="1"/>
  <c r="K50" i="1" s="1"/>
  <c r="R49" i="1"/>
  <c r="N49" i="1"/>
  <c r="H49" i="1"/>
  <c r="R48" i="1"/>
  <c r="N48" i="1"/>
  <c r="H48" i="1"/>
  <c r="R47" i="1"/>
  <c r="N47" i="1"/>
  <c r="H47" i="1"/>
  <c r="R46" i="1"/>
  <c r="L45" i="1" s="1"/>
  <c r="N46" i="1"/>
  <c r="H46" i="1"/>
  <c r="R45" i="1"/>
  <c r="N45" i="1"/>
  <c r="H45" i="1"/>
  <c r="I45" i="1" s="1"/>
  <c r="K45" i="1" s="1"/>
  <c r="R44" i="1"/>
  <c r="L39" i="1" s="1"/>
  <c r="N44" i="1"/>
  <c r="H44" i="1"/>
  <c r="R43" i="1"/>
  <c r="N43" i="1"/>
  <c r="H43" i="1"/>
  <c r="R42" i="1"/>
  <c r="N42" i="1"/>
  <c r="H42" i="1"/>
  <c r="R41" i="1"/>
  <c r="N41" i="1"/>
  <c r="H41" i="1"/>
  <c r="R40" i="1"/>
  <c r="N40" i="1"/>
  <c r="H40" i="1"/>
  <c r="R39" i="1"/>
  <c r="N39" i="1"/>
  <c r="H39" i="1"/>
  <c r="I39" i="1" s="1"/>
  <c r="K39" i="1" s="1"/>
  <c r="R38" i="1"/>
  <c r="N38" i="1"/>
  <c r="H38" i="1"/>
  <c r="R37" i="1"/>
  <c r="N37" i="1"/>
  <c r="H37" i="1"/>
  <c r="R36" i="1"/>
  <c r="N36" i="1"/>
  <c r="H36" i="1"/>
  <c r="R35" i="1"/>
  <c r="N35" i="1"/>
  <c r="H35" i="1"/>
  <c r="R34" i="1"/>
  <c r="N34" i="1"/>
  <c r="H34" i="1"/>
  <c r="R33" i="1"/>
  <c r="N33" i="1"/>
  <c r="H33" i="1"/>
  <c r="R32" i="1"/>
  <c r="N32" i="1"/>
  <c r="L32" i="1"/>
  <c r="H32" i="1"/>
  <c r="I32" i="1" s="1"/>
  <c r="K32" i="1" s="1"/>
  <c r="R29" i="1"/>
  <c r="N29" i="1"/>
  <c r="H29" i="1"/>
  <c r="R28" i="1"/>
  <c r="N28" i="1"/>
  <c r="H28" i="1"/>
  <c r="R27" i="1"/>
  <c r="N27" i="1"/>
  <c r="H27" i="1"/>
  <c r="R26" i="1"/>
  <c r="N26" i="1"/>
  <c r="H26" i="1"/>
  <c r="R25" i="1"/>
  <c r="N25" i="1"/>
  <c r="H25" i="1"/>
  <c r="R24" i="1"/>
  <c r="N24" i="1"/>
  <c r="H24" i="1"/>
  <c r="R23" i="1"/>
  <c r="N23" i="1"/>
  <c r="H23" i="1"/>
  <c r="R22" i="1"/>
  <c r="L22" i="1" s="1"/>
  <c r="N22" i="1"/>
  <c r="H22" i="1"/>
  <c r="I22" i="1" s="1"/>
  <c r="K22" i="1" s="1"/>
  <c r="R21" i="1"/>
  <c r="N21" i="1"/>
  <c r="H21" i="1"/>
  <c r="R20" i="1"/>
  <c r="N20" i="1"/>
  <c r="H20" i="1"/>
  <c r="R19" i="1"/>
  <c r="N19" i="1"/>
  <c r="H19" i="1"/>
  <c r="R18" i="1"/>
  <c r="N18" i="1"/>
  <c r="H18" i="1"/>
  <c r="R17" i="1"/>
  <c r="N17" i="1"/>
  <c r="H17" i="1"/>
  <c r="R16" i="1"/>
  <c r="N16" i="1"/>
  <c r="H16" i="1"/>
  <c r="R15" i="1"/>
  <c r="N15" i="1"/>
  <c r="H15" i="1"/>
  <c r="R14" i="1"/>
  <c r="N14" i="1"/>
  <c r="H14" i="1"/>
  <c r="R13" i="1"/>
  <c r="N13" i="1"/>
  <c r="H13" i="1"/>
  <c r="R12" i="1"/>
  <c r="N12" i="1"/>
  <c r="H12" i="1"/>
  <c r="R11" i="1"/>
  <c r="N11" i="1"/>
  <c r="H11" i="1"/>
  <c r="R10" i="1"/>
  <c r="N10" i="1"/>
  <c r="H10" i="1"/>
  <c r="R9" i="1"/>
  <c r="N9" i="1"/>
  <c r="H9" i="1"/>
  <c r="R8" i="1"/>
  <c r="N8" i="1"/>
  <c r="H8" i="1"/>
  <c r="R7" i="1"/>
  <c r="N7" i="1"/>
  <c r="H7" i="1"/>
  <c r="R6" i="1"/>
  <c r="N6" i="1"/>
  <c r="H6" i="1"/>
  <c r="R5" i="1"/>
  <c r="R61" i="1" s="1"/>
  <c r="N5" i="1"/>
  <c r="N61" i="1" s="1"/>
  <c r="L5" i="1"/>
  <c r="H5" i="1"/>
  <c r="I5" i="1" s="1"/>
  <c r="K5" i="1" s="1"/>
  <c r="Q59" i="2" l="1"/>
  <c r="U59" i="2"/>
  <c r="N59" i="2"/>
  <c r="H59" i="2"/>
  <c r="H61" i="1"/>
  <c r="K61" i="1"/>
</calcChain>
</file>

<file path=xl/sharedStrings.xml><?xml version="1.0" encoding="utf-8"?>
<sst xmlns="http://schemas.openxmlformats.org/spreadsheetml/2006/main" count="302" uniqueCount="103">
  <si>
    <t>Super Will Limited</t>
  </si>
  <si>
    <t>Client</t>
  </si>
  <si>
    <t>NALUYIMA</t>
  </si>
  <si>
    <t>Loading Date</t>
  </si>
  <si>
    <t>Container No.</t>
  </si>
  <si>
    <t>TGBU9257280</t>
  </si>
  <si>
    <t>Shop No.</t>
  </si>
  <si>
    <t>Descriptions Of Goods</t>
  </si>
  <si>
    <t>Ctns</t>
  </si>
  <si>
    <t>Qty/Ctn</t>
  </si>
  <si>
    <t>Unit Price</t>
  </si>
  <si>
    <t>Amount</t>
  </si>
  <si>
    <t>Sub Amount</t>
  </si>
  <si>
    <t>Deposit</t>
  </si>
  <si>
    <t>Balance</t>
  </si>
  <si>
    <t>CBM</t>
  </si>
  <si>
    <t>Weight(Kg)</t>
  </si>
  <si>
    <t>G.W(Kg)</t>
  </si>
  <si>
    <t>D3-7995</t>
  </si>
  <si>
    <r>
      <t>Y</t>
    </r>
    <r>
      <rPr>
        <sz val="11"/>
        <color theme="1"/>
        <rFont val="等线"/>
        <family val="2"/>
        <charset val="134"/>
        <scheme val="minor"/>
      </rPr>
      <t>81-750 STEEL BOTTLE</t>
    </r>
  </si>
  <si>
    <r>
      <t>P</t>
    </r>
    <r>
      <rPr>
        <sz val="11"/>
        <color theme="1"/>
        <rFont val="等线"/>
        <family val="2"/>
        <charset val="134"/>
        <scheme val="minor"/>
      </rPr>
      <t>CS</t>
    </r>
  </si>
  <si>
    <t>/PC</t>
  </si>
  <si>
    <r>
      <t>K</t>
    </r>
    <r>
      <rPr>
        <sz val="11"/>
        <color theme="1"/>
        <rFont val="等线"/>
        <family val="2"/>
        <charset val="134"/>
        <scheme val="minor"/>
      </rPr>
      <t>F21-450 STEEL BOTTLE</t>
    </r>
  </si>
  <si>
    <r>
      <t>K</t>
    </r>
    <r>
      <rPr>
        <sz val="11"/>
        <color theme="1"/>
        <rFont val="等线"/>
        <family val="2"/>
        <charset val="134"/>
        <scheme val="minor"/>
      </rPr>
      <t>F17-600 STEEL BOTTLE</t>
    </r>
  </si>
  <si>
    <r>
      <t>K</t>
    </r>
    <r>
      <rPr>
        <sz val="11"/>
        <color theme="1"/>
        <rFont val="等线"/>
        <family val="2"/>
        <charset val="134"/>
        <scheme val="minor"/>
      </rPr>
      <t>F-500 STEEL BOTTLE</t>
    </r>
  </si>
  <si>
    <r>
      <t>S</t>
    </r>
    <r>
      <rPr>
        <sz val="11"/>
        <color theme="1"/>
        <rFont val="等线"/>
        <family val="2"/>
        <charset val="134"/>
        <scheme val="minor"/>
      </rPr>
      <t>B08 STEEL BOTTLE</t>
    </r>
  </si>
  <si>
    <r>
      <t>M</t>
    </r>
    <r>
      <rPr>
        <sz val="11"/>
        <color theme="1"/>
        <rFont val="等线"/>
        <family val="2"/>
        <charset val="134"/>
        <scheme val="minor"/>
      </rPr>
      <t>K-1000 PLASTIC BOTTLE</t>
    </r>
  </si>
  <si>
    <t>YF-1000 PLASTIC BOTTLE</t>
  </si>
  <si>
    <t>MK-1000 PLASTIC BOTTLE COLOR</t>
  </si>
  <si>
    <t xml:space="preserve"> </t>
  </si>
  <si>
    <t>XLB-1000 STEEL BOTTLE</t>
  </si>
  <si>
    <r>
      <t>J</t>
    </r>
    <r>
      <rPr>
        <sz val="11"/>
        <color theme="1"/>
        <rFont val="等线"/>
        <family val="2"/>
        <charset val="134"/>
        <scheme val="minor"/>
      </rPr>
      <t>K88-1100 STEEL BOTTLE</t>
    </r>
  </si>
  <si>
    <r>
      <t>J</t>
    </r>
    <r>
      <rPr>
        <sz val="11"/>
        <color theme="1"/>
        <rFont val="等线"/>
        <family val="2"/>
        <charset val="134"/>
        <scheme val="minor"/>
      </rPr>
      <t>K88-750 STEEL BOTTLE</t>
    </r>
  </si>
  <si>
    <r>
      <t>S</t>
    </r>
    <r>
      <rPr>
        <sz val="11"/>
        <color theme="1"/>
        <rFont val="等线"/>
        <family val="2"/>
        <charset val="134"/>
        <scheme val="minor"/>
      </rPr>
      <t>DLCUP-LL STEEL BOTTLE</t>
    </r>
  </si>
  <si>
    <r>
      <t>A</t>
    </r>
    <r>
      <rPr>
        <sz val="11"/>
        <color theme="1"/>
        <rFont val="等线"/>
        <family val="2"/>
        <charset val="134"/>
        <scheme val="minor"/>
      </rPr>
      <t>CCESSORY</t>
    </r>
  </si>
  <si>
    <r>
      <t>S</t>
    </r>
    <r>
      <rPr>
        <sz val="11"/>
        <color theme="1"/>
        <rFont val="等线"/>
        <family val="2"/>
        <charset val="134"/>
        <scheme val="minor"/>
      </rPr>
      <t>DLCUP-1200 STEEL BOTTLE</t>
    </r>
  </si>
  <si>
    <t>JK03-600 STEEL BOTTLE</t>
  </si>
  <si>
    <r>
      <t>J</t>
    </r>
    <r>
      <rPr>
        <sz val="11"/>
        <color theme="1"/>
        <rFont val="等线"/>
        <family val="2"/>
        <charset val="134"/>
        <scheme val="minor"/>
      </rPr>
      <t>K03-750 STEEL BOTTLE</t>
    </r>
  </si>
  <si>
    <r>
      <t>J</t>
    </r>
    <r>
      <rPr>
        <sz val="11"/>
        <color theme="1"/>
        <rFont val="等线"/>
        <family val="2"/>
        <charset val="134"/>
        <scheme val="minor"/>
      </rPr>
      <t>K03-1100 STEEL BOTTLE</t>
    </r>
  </si>
  <si>
    <t>10PCS BABY SET</t>
  </si>
  <si>
    <t>SETS</t>
  </si>
  <si>
    <t>/SET</t>
  </si>
  <si>
    <t>320ML FEEDING BOTTLE SET</t>
  </si>
  <si>
    <t>240ML FEEDING BOTTLE SET</t>
  </si>
  <si>
    <t>145-4 CLEANING BRUSH</t>
  </si>
  <si>
    <t>AB-8005 FEEDING BOTTLE SET</t>
  </si>
  <si>
    <t>SMALL FEEDING BOTTLE SET</t>
  </si>
  <si>
    <t>7PCS BABAY+CLIPS</t>
  </si>
  <si>
    <t>F3-16944</t>
  </si>
  <si>
    <r>
      <t>7</t>
    </r>
    <r>
      <rPr>
        <sz val="11"/>
        <color theme="1"/>
        <rFont val="等线"/>
        <family val="2"/>
        <charset val="134"/>
        <scheme val="minor"/>
      </rPr>
      <t>032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</si>
  <si>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042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</si>
  <si>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021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</si>
  <si>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651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</si>
  <si>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711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</si>
  <si>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079 STEEL BOTTLE</t>
    </r>
  </si>
  <si>
    <r>
      <t>7</t>
    </r>
    <r>
      <rPr>
        <sz val="11"/>
        <color theme="1"/>
        <rFont val="等线"/>
        <family val="2"/>
        <charset val="134"/>
        <scheme val="minor"/>
      </rPr>
      <t>078 STEEL BOTTLE</t>
    </r>
  </si>
  <si>
    <t>F3-16540</t>
  </si>
  <si>
    <r>
      <t>9</t>
    </r>
    <r>
      <rPr>
        <sz val="11"/>
        <color theme="1"/>
        <rFont val="等线"/>
        <family val="2"/>
        <charset val="134"/>
        <scheme val="minor"/>
      </rPr>
      <t>6P-2318 WATER SET</t>
    </r>
  </si>
  <si>
    <r>
      <t>7</t>
    </r>
    <r>
      <rPr>
        <sz val="11"/>
        <color theme="1"/>
        <rFont val="等线"/>
        <family val="2"/>
        <charset val="134"/>
        <scheme val="minor"/>
      </rPr>
      <t>751 GLASS BOTTLE</t>
    </r>
  </si>
  <si>
    <r>
      <t>1</t>
    </r>
    <r>
      <rPr>
        <sz val="11"/>
        <color theme="1"/>
        <rFont val="等线"/>
        <family val="2"/>
        <charset val="134"/>
        <scheme val="minor"/>
      </rPr>
      <t>B-9028 PLASTIC BOTTLE</t>
    </r>
  </si>
  <si>
    <r>
      <t>1</t>
    </r>
    <r>
      <rPr>
        <sz val="11"/>
        <color theme="1"/>
        <rFont val="等线"/>
        <family val="2"/>
        <charset val="134"/>
        <scheme val="minor"/>
      </rPr>
      <t>B-9027 PLASTIC BOTTLE</t>
    </r>
  </si>
  <si>
    <r>
      <t>1</t>
    </r>
    <r>
      <rPr>
        <sz val="11"/>
        <color theme="1"/>
        <rFont val="等线"/>
        <family val="2"/>
        <charset val="134"/>
        <scheme val="minor"/>
      </rPr>
      <t>689 BABY BOTTLE</t>
    </r>
  </si>
  <si>
    <r>
      <t>1</t>
    </r>
    <r>
      <rPr>
        <sz val="11"/>
        <color theme="1"/>
        <rFont val="等线"/>
        <family val="2"/>
        <charset val="134"/>
        <scheme val="minor"/>
      </rPr>
      <t>682 BABY BOTTLE</t>
    </r>
  </si>
  <si>
    <t>F3-16484</t>
  </si>
  <si>
    <r>
      <t>Y</t>
    </r>
    <r>
      <rPr>
        <sz val="11"/>
        <color theme="1"/>
        <rFont val="等线"/>
        <family val="2"/>
        <charset val="134"/>
        <scheme val="minor"/>
      </rPr>
      <t>Y-536 PLASTIC BOTTLE</t>
    </r>
  </si>
  <si>
    <r>
      <t>Y</t>
    </r>
    <r>
      <rPr>
        <sz val="11"/>
        <color theme="1"/>
        <rFont val="等线"/>
        <family val="2"/>
        <charset val="134"/>
        <scheme val="minor"/>
      </rPr>
      <t>Y-8005 PLASTIC BOTTLE</t>
    </r>
  </si>
  <si>
    <r>
      <t>Y</t>
    </r>
    <r>
      <rPr>
        <sz val="11"/>
        <color theme="1"/>
        <rFont val="等线"/>
        <family val="2"/>
        <charset val="134"/>
        <scheme val="minor"/>
      </rPr>
      <t>Y-361 PLASTIC BOTTLE</t>
    </r>
  </si>
  <si>
    <r>
      <t>Y</t>
    </r>
    <r>
      <rPr>
        <sz val="11"/>
        <color theme="1"/>
        <rFont val="等线"/>
        <family val="2"/>
        <charset val="134"/>
        <scheme val="minor"/>
      </rPr>
      <t>Y-415 PLASTIC BOTTLE</t>
    </r>
  </si>
  <si>
    <r>
      <t>Y</t>
    </r>
    <r>
      <rPr>
        <sz val="11"/>
        <color theme="1"/>
        <rFont val="等线"/>
        <family val="2"/>
        <charset val="134"/>
        <scheme val="minor"/>
      </rPr>
      <t>Y-8014 PLASTIC BOTTLE</t>
    </r>
  </si>
  <si>
    <t>F3-16468</t>
  </si>
  <si>
    <t>ZF-008 STEEL BOTTLE</t>
  </si>
  <si>
    <t>ZF-028 STEEL BOTTLE</t>
  </si>
  <si>
    <t>ZF-001 STEEL BOTTLE</t>
  </si>
  <si>
    <t>ZF-002 STEEL BOTTLE</t>
  </si>
  <si>
    <t>ZF-047 STEEL BOTTLE</t>
  </si>
  <si>
    <t>ZF-037 STEEL BOTTLE</t>
  </si>
  <si>
    <t>ZF-038 STEEL BOTTLE</t>
  </si>
  <si>
    <t>ZF-051 STEEL BOTTLE</t>
  </si>
  <si>
    <t>F3-16443</t>
  </si>
  <si>
    <t>YQ-9206 PLASTIC BOTTLE</t>
  </si>
  <si>
    <t>QF8112 PLASTIC BOTTLE</t>
  </si>
  <si>
    <t>S-2531-1 PLASTIC BOTTLE</t>
  </si>
  <si>
    <t>GENERAL CARTONS</t>
  </si>
  <si>
    <t>GENERAL AMOUNT</t>
  </si>
  <si>
    <t>GENERAL CBM</t>
  </si>
  <si>
    <t>GENERAL WEIGHT</t>
  </si>
  <si>
    <t>￥62101.4/7.15=$8685.510</t>
    <phoneticPr fontId="7" type="noConversion"/>
  </si>
  <si>
    <t>DEPOSIT:$3500(CASH)</t>
  </si>
  <si>
    <t>COMMISSION:($8685.51-$3500)*2%=$5185.51*2%=$103.7</t>
    <phoneticPr fontId="7" type="noConversion"/>
  </si>
  <si>
    <t>SHIP:$3900+$750(INSPECTION)/68.78*10.024=$677.7</t>
    <phoneticPr fontId="7" type="noConversion"/>
  </si>
  <si>
    <t>BALANCE:$5185.51+$667.7+$103.7=$5956.91</t>
    <phoneticPr fontId="7" type="noConversion"/>
  </si>
  <si>
    <t>UNIT CBM</t>
  </si>
  <si>
    <t>YEN-UGX</t>
  </si>
  <si>
    <t>EXP/CTN</t>
  </si>
  <si>
    <t>VALUE NATURE</t>
  </si>
  <si>
    <t>VALUE</t>
  </si>
  <si>
    <t>VALUE PX</t>
  </si>
  <si>
    <t>TOTAL EXP/CTN</t>
  </si>
  <si>
    <t>SELL`G PX/CTN</t>
  </si>
  <si>
    <t>PRT/CTN</t>
  </si>
  <si>
    <t>TT PFT/CTN</t>
  </si>
  <si>
    <t>TT SALES</t>
  </si>
  <si>
    <t>TT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</si>
</sst>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24"/>
      <name val="Times New Roman"/>
      <family val="1"/>
    </font>
    <font>
      <sz val="9"/>
      <name val="等线"/>
      <family val="2"/>
      <charset val="134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/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>
      <alignment vertical="center"/>
    </xf>
    <xf numFmtId="0" fontId="5" fillId="0" borderId="5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5" xfId="0" applyFont="1" applyBorder="1" applyAlignment="1">
      <alignment horizontal="left" vertical="center"/>
    </xf>
    <xf numFmtId="0" fontId="7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>
      <alignment vertical="center"/>
    </xf>
    <xf numFmtId="0" fontId="7" fillId="0" borderId="8" xfId="0" applyFont="1" applyBorder="1">
      <alignment vertical="center"/>
    </xf>
    <xf numFmtId="0" fontId="6" fillId="0" borderId="8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5" fillId="0" borderId="8" xfId="0" applyFont="1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/>
    <xf numFmtId="0" fontId="0" fillId="0" borderId="0" xfId="0" applyAlignment="1"/>
    <xf numFmtId="0" fontId="8" fillId="0" borderId="0" xfId="0" applyFont="1">
      <alignment vertical="center"/>
    </xf>
    <xf numFmtId="0" fontId="0" fillId="0" borderId="0" xfId="0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5" xfId="0" applyFont="1" applyBorder="1" applyAlignment="1">
      <alignment vertical="center"/>
    </xf>
    <xf numFmtId="14" fontId="3" fillId="0" borderId="12" xfId="1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14" fontId="3" fillId="0" borderId="16" xfId="1" applyNumberFormat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E2E7CFFC-A366-4147-8A95-7B2DCAB9E3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BDF7-FBA2-4E52-A8C1-9E9767041FEA}">
  <dimension ref="A1:W70"/>
  <sheetViews>
    <sheetView tabSelected="1" topLeftCell="A56" workbookViewId="0">
      <selection activeCell="L77" sqref="A1:XFD1048576"/>
    </sheetView>
  </sheetViews>
  <sheetFormatPr defaultRowHeight="13.9" x14ac:dyDescent="0.4"/>
  <cols>
    <col min="1" max="1" width="9.73046875" style="2" customWidth="1"/>
    <col min="2" max="2" width="29.46484375" style="3" customWidth="1"/>
    <col min="3" max="3" width="5.19921875" customWidth="1"/>
    <col min="4" max="4" width="5.33203125" customWidth="1"/>
    <col min="5" max="5" width="4.3984375" customWidth="1"/>
    <col min="6" max="6" width="6" customWidth="1"/>
    <col min="7" max="7" width="4.3984375" customWidth="1"/>
    <col min="9" max="9" width="11.59765625" style="2" customWidth="1"/>
    <col min="10" max="10" width="8.1328125" style="2" customWidth="1"/>
    <col min="11" max="11" width="10.796875" style="2" customWidth="1"/>
    <col min="12" max="12" width="6.3984375" style="2" customWidth="1"/>
    <col min="13" max="13" width="9.73046875" customWidth="1"/>
    <col min="14" max="14" width="8.9296875" customWidth="1"/>
    <col min="18" max="18" width="7.06640625" customWidth="1"/>
    <col min="257" max="257" width="9.73046875" customWidth="1"/>
    <col min="258" max="258" width="29.46484375" customWidth="1"/>
    <col min="259" max="259" width="5.19921875" customWidth="1"/>
    <col min="260" max="260" width="5.33203125" customWidth="1"/>
    <col min="261" max="261" width="4.3984375" customWidth="1"/>
    <col min="262" max="262" width="6" customWidth="1"/>
    <col min="263" max="263" width="4.3984375" customWidth="1"/>
    <col min="265" max="265" width="11.59765625" customWidth="1"/>
    <col min="266" max="266" width="8.1328125" customWidth="1"/>
    <col min="267" max="267" width="10.796875" customWidth="1"/>
    <col min="268" max="268" width="6.3984375" customWidth="1"/>
    <col min="269" max="269" width="9.73046875" customWidth="1"/>
    <col min="270" max="270" width="8.9296875" customWidth="1"/>
    <col min="274" max="274" width="7.06640625" customWidth="1"/>
    <col min="513" max="513" width="9.73046875" customWidth="1"/>
    <col min="514" max="514" width="29.46484375" customWidth="1"/>
    <col min="515" max="515" width="5.19921875" customWidth="1"/>
    <col min="516" max="516" width="5.33203125" customWidth="1"/>
    <col min="517" max="517" width="4.3984375" customWidth="1"/>
    <col min="518" max="518" width="6" customWidth="1"/>
    <col min="519" max="519" width="4.3984375" customWidth="1"/>
    <col min="521" max="521" width="11.59765625" customWidth="1"/>
    <col min="522" max="522" width="8.1328125" customWidth="1"/>
    <col min="523" max="523" width="10.796875" customWidth="1"/>
    <col min="524" max="524" width="6.3984375" customWidth="1"/>
    <col min="525" max="525" width="9.73046875" customWidth="1"/>
    <col min="526" max="526" width="8.9296875" customWidth="1"/>
    <col min="530" max="530" width="7.06640625" customWidth="1"/>
    <col min="769" max="769" width="9.73046875" customWidth="1"/>
    <col min="770" max="770" width="29.46484375" customWidth="1"/>
    <col min="771" max="771" width="5.19921875" customWidth="1"/>
    <col min="772" max="772" width="5.33203125" customWidth="1"/>
    <col min="773" max="773" width="4.3984375" customWidth="1"/>
    <col min="774" max="774" width="6" customWidth="1"/>
    <col min="775" max="775" width="4.3984375" customWidth="1"/>
    <col min="777" max="777" width="11.59765625" customWidth="1"/>
    <col min="778" max="778" width="8.1328125" customWidth="1"/>
    <col min="779" max="779" width="10.796875" customWidth="1"/>
    <col min="780" max="780" width="6.3984375" customWidth="1"/>
    <col min="781" max="781" width="9.73046875" customWidth="1"/>
    <col min="782" max="782" width="8.9296875" customWidth="1"/>
    <col min="786" max="786" width="7.06640625" customWidth="1"/>
    <col min="1025" max="1025" width="9.73046875" customWidth="1"/>
    <col min="1026" max="1026" width="29.46484375" customWidth="1"/>
    <col min="1027" max="1027" width="5.19921875" customWidth="1"/>
    <col min="1028" max="1028" width="5.33203125" customWidth="1"/>
    <col min="1029" max="1029" width="4.3984375" customWidth="1"/>
    <col min="1030" max="1030" width="6" customWidth="1"/>
    <col min="1031" max="1031" width="4.3984375" customWidth="1"/>
    <col min="1033" max="1033" width="11.59765625" customWidth="1"/>
    <col min="1034" max="1034" width="8.1328125" customWidth="1"/>
    <col min="1035" max="1035" width="10.796875" customWidth="1"/>
    <col min="1036" max="1036" width="6.3984375" customWidth="1"/>
    <col min="1037" max="1037" width="9.73046875" customWidth="1"/>
    <col min="1038" max="1038" width="8.9296875" customWidth="1"/>
    <col min="1042" max="1042" width="7.06640625" customWidth="1"/>
    <col min="1281" max="1281" width="9.73046875" customWidth="1"/>
    <col min="1282" max="1282" width="29.46484375" customWidth="1"/>
    <col min="1283" max="1283" width="5.19921875" customWidth="1"/>
    <col min="1284" max="1284" width="5.33203125" customWidth="1"/>
    <col min="1285" max="1285" width="4.3984375" customWidth="1"/>
    <col min="1286" max="1286" width="6" customWidth="1"/>
    <col min="1287" max="1287" width="4.3984375" customWidth="1"/>
    <col min="1289" max="1289" width="11.59765625" customWidth="1"/>
    <col min="1290" max="1290" width="8.1328125" customWidth="1"/>
    <col min="1291" max="1291" width="10.796875" customWidth="1"/>
    <col min="1292" max="1292" width="6.3984375" customWidth="1"/>
    <col min="1293" max="1293" width="9.73046875" customWidth="1"/>
    <col min="1294" max="1294" width="8.9296875" customWidth="1"/>
    <col min="1298" max="1298" width="7.06640625" customWidth="1"/>
    <col min="1537" max="1537" width="9.73046875" customWidth="1"/>
    <col min="1538" max="1538" width="29.46484375" customWidth="1"/>
    <col min="1539" max="1539" width="5.19921875" customWidth="1"/>
    <col min="1540" max="1540" width="5.33203125" customWidth="1"/>
    <col min="1541" max="1541" width="4.3984375" customWidth="1"/>
    <col min="1542" max="1542" width="6" customWidth="1"/>
    <col min="1543" max="1543" width="4.3984375" customWidth="1"/>
    <col min="1545" max="1545" width="11.59765625" customWidth="1"/>
    <col min="1546" max="1546" width="8.1328125" customWidth="1"/>
    <col min="1547" max="1547" width="10.796875" customWidth="1"/>
    <col min="1548" max="1548" width="6.3984375" customWidth="1"/>
    <col min="1549" max="1549" width="9.73046875" customWidth="1"/>
    <col min="1550" max="1550" width="8.9296875" customWidth="1"/>
    <col min="1554" max="1554" width="7.06640625" customWidth="1"/>
    <col min="1793" max="1793" width="9.73046875" customWidth="1"/>
    <col min="1794" max="1794" width="29.46484375" customWidth="1"/>
    <col min="1795" max="1795" width="5.19921875" customWidth="1"/>
    <col min="1796" max="1796" width="5.33203125" customWidth="1"/>
    <col min="1797" max="1797" width="4.3984375" customWidth="1"/>
    <col min="1798" max="1798" width="6" customWidth="1"/>
    <col min="1799" max="1799" width="4.3984375" customWidth="1"/>
    <col min="1801" max="1801" width="11.59765625" customWidth="1"/>
    <col min="1802" max="1802" width="8.1328125" customWidth="1"/>
    <col min="1803" max="1803" width="10.796875" customWidth="1"/>
    <col min="1804" max="1804" width="6.3984375" customWidth="1"/>
    <col min="1805" max="1805" width="9.73046875" customWidth="1"/>
    <col min="1806" max="1806" width="8.9296875" customWidth="1"/>
    <col min="1810" max="1810" width="7.06640625" customWidth="1"/>
    <col min="2049" max="2049" width="9.73046875" customWidth="1"/>
    <col min="2050" max="2050" width="29.46484375" customWidth="1"/>
    <col min="2051" max="2051" width="5.19921875" customWidth="1"/>
    <col min="2052" max="2052" width="5.33203125" customWidth="1"/>
    <col min="2053" max="2053" width="4.3984375" customWidth="1"/>
    <col min="2054" max="2054" width="6" customWidth="1"/>
    <col min="2055" max="2055" width="4.3984375" customWidth="1"/>
    <col min="2057" max="2057" width="11.59765625" customWidth="1"/>
    <col min="2058" max="2058" width="8.1328125" customWidth="1"/>
    <col min="2059" max="2059" width="10.796875" customWidth="1"/>
    <col min="2060" max="2060" width="6.3984375" customWidth="1"/>
    <col min="2061" max="2061" width="9.73046875" customWidth="1"/>
    <col min="2062" max="2062" width="8.9296875" customWidth="1"/>
    <col min="2066" max="2066" width="7.06640625" customWidth="1"/>
    <col min="2305" max="2305" width="9.73046875" customWidth="1"/>
    <col min="2306" max="2306" width="29.46484375" customWidth="1"/>
    <col min="2307" max="2307" width="5.19921875" customWidth="1"/>
    <col min="2308" max="2308" width="5.33203125" customWidth="1"/>
    <col min="2309" max="2309" width="4.3984375" customWidth="1"/>
    <col min="2310" max="2310" width="6" customWidth="1"/>
    <col min="2311" max="2311" width="4.3984375" customWidth="1"/>
    <col min="2313" max="2313" width="11.59765625" customWidth="1"/>
    <col min="2314" max="2314" width="8.1328125" customWidth="1"/>
    <col min="2315" max="2315" width="10.796875" customWidth="1"/>
    <col min="2316" max="2316" width="6.3984375" customWidth="1"/>
    <col min="2317" max="2317" width="9.73046875" customWidth="1"/>
    <col min="2318" max="2318" width="8.9296875" customWidth="1"/>
    <col min="2322" max="2322" width="7.06640625" customWidth="1"/>
    <col min="2561" max="2561" width="9.73046875" customWidth="1"/>
    <col min="2562" max="2562" width="29.46484375" customWidth="1"/>
    <col min="2563" max="2563" width="5.19921875" customWidth="1"/>
    <col min="2564" max="2564" width="5.33203125" customWidth="1"/>
    <col min="2565" max="2565" width="4.3984375" customWidth="1"/>
    <col min="2566" max="2566" width="6" customWidth="1"/>
    <col min="2567" max="2567" width="4.3984375" customWidth="1"/>
    <col min="2569" max="2569" width="11.59765625" customWidth="1"/>
    <col min="2570" max="2570" width="8.1328125" customWidth="1"/>
    <col min="2571" max="2571" width="10.796875" customWidth="1"/>
    <col min="2572" max="2572" width="6.3984375" customWidth="1"/>
    <col min="2573" max="2573" width="9.73046875" customWidth="1"/>
    <col min="2574" max="2574" width="8.9296875" customWidth="1"/>
    <col min="2578" max="2578" width="7.06640625" customWidth="1"/>
    <col min="2817" max="2817" width="9.73046875" customWidth="1"/>
    <col min="2818" max="2818" width="29.46484375" customWidth="1"/>
    <col min="2819" max="2819" width="5.19921875" customWidth="1"/>
    <col min="2820" max="2820" width="5.33203125" customWidth="1"/>
    <col min="2821" max="2821" width="4.3984375" customWidth="1"/>
    <col min="2822" max="2822" width="6" customWidth="1"/>
    <col min="2823" max="2823" width="4.3984375" customWidth="1"/>
    <col min="2825" max="2825" width="11.59765625" customWidth="1"/>
    <col min="2826" max="2826" width="8.1328125" customWidth="1"/>
    <col min="2827" max="2827" width="10.796875" customWidth="1"/>
    <col min="2828" max="2828" width="6.3984375" customWidth="1"/>
    <col min="2829" max="2829" width="9.73046875" customWidth="1"/>
    <col min="2830" max="2830" width="8.9296875" customWidth="1"/>
    <col min="2834" max="2834" width="7.06640625" customWidth="1"/>
    <col min="3073" max="3073" width="9.73046875" customWidth="1"/>
    <col min="3074" max="3074" width="29.46484375" customWidth="1"/>
    <col min="3075" max="3075" width="5.19921875" customWidth="1"/>
    <col min="3076" max="3076" width="5.33203125" customWidth="1"/>
    <col min="3077" max="3077" width="4.3984375" customWidth="1"/>
    <col min="3078" max="3078" width="6" customWidth="1"/>
    <col min="3079" max="3079" width="4.3984375" customWidth="1"/>
    <col min="3081" max="3081" width="11.59765625" customWidth="1"/>
    <col min="3082" max="3082" width="8.1328125" customWidth="1"/>
    <col min="3083" max="3083" width="10.796875" customWidth="1"/>
    <col min="3084" max="3084" width="6.3984375" customWidth="1"/>
    <col min="3085" max="3085" width="9.73046875" customWidth="1"/>
    <col min="3086" max="3086" width="8.9296875" customWidth="1"/>
    <col min="3090" max="3090" width="7.06640625" customWidth="1"/>
    <col min="3329" max="3329" width="9.73046875" customWidth="1"/>
    <col min="3330" max="3330" width="29.46484375" customWidth="1"/>
    <col min="3331" max="3331" width="5.19921875" customWidth="1"/>
    <col min="3332" max="3332" width="5.33203125" customWidth="1"/>
    <col min="3333" max="3333" width="4.3984375" customWidth="1"/>
    <col min="3334" max="3334" width="6" customWidth="1"/>
    <col min="3335" max="3335" width="4.3984375" customWidth="1"/>
    <col min="3337" max="3337" width="11.59765625" customWidth="1"/>
    <col min="3338" max="3338" width="8.1328125" customWidth="1"/>
    <col min="3339" max="3339" width="10.796875" customWidth="1"/>
    <col min="3340" max="3340" width="6.3984375" customWidth="1"/>
    <col min="3341" max="3341" width="9.73046875" customWidth="1"/>
    <col min="3342" max="3342" width="8.9296875" customWidth="1"/>
    <col min="3346" max="3346" width="7.06640625" customWidth="1"/>
    <col min="3585" max="3585" width="9.73046875" customWidth="1"/>
    <col min="3586" max="3586" width="29.46484375" customWidth="1"/>
    <col min="3587" max="3587" width="5.19921875" customWidth="1"/>
    <col min="3588" max="3588" width="5.33203125" customWidth="1"/>
    <col min="3589" max="3589" width="4.3984375" customWidth="1"/>
    <col min="3590" max="3590" width="6" customWidth="1"/>
    <col min="3591" max="3591" width="4.3984375" customWidth="1"/>
    <col min="3593" max="3593" width="11.59765625" customWidth="1"/>
    <col min="3594" max="3594" width="8.1328125" customWidth="1"/>
    <col min="3595" max="3595" width="10.796875" customWidth="1"/>
    <col min="3596" max="3596" width="6.3984375" customWidth="1"/>
    <col min="3597" max="3597" width="9.73046875" customWidth="1"/>
    <col min="3598" max="3598" width="8.9296875" customWidth="1"/>
    <col min="3602" max="3602" width="7.06640625" customWidth="1"/>
    <col min="3841" max="3841" width="9.73046875" customWidth="1"/>
    <col min="3842" max="3842" width="29.46484375" customWidth="1"/>
    <col min="3843" max="3843" width="5.19921875" customWidth="1"/>
    <col min="3844" max="3844" width="5.33203125" customWidth="1"/>
    <col min="3845" max="3845" width="4.3984375" customWidth="1"/>
    <col min="3846" max="3846" width="6" customWidth="1"/>
    <col min="3847" max="3847" width="4.3984375" customWidth="1"/>
    <col min="3849" max="3849" width="11.59765625" customWidth="1"/>
    <col min="3850" max="3850" width="8.1328125" customWidth="1"/>
    <col min="3851" max="3851" width="10.796875" customWidth="1"/>
    <col min="3852" max="3852" width="6.3984375" customWidth="1"/>
    <col min="3853" max="3853" width="9.73046875" customWidth="1"/>
    <col min="3854" max="3854" width="8.9296875" customWidth="1"/>
    <col min="3858" max="3858" width="7.06640625" customWidth="1"/>
    <col min="4097" max="4097" width="9.73046875" customWidth="1"/>
    <col min="4098" max="4098" width="29.46484375" customWidth="1"/>
    <col min="4099" max="4099" width="5.19921875" customWidth="1"/>
    <col min="4100" max="4100" width="5.33203125" customWidth="1"/>
    <col min="4101" max="4101" width="4.3984375" customWidth="1"/>
    <col min="4102" max="4102" width="6" customWidth="1"/>
    <col min="4103" max="4103" width="4.3984375" customWidth="1"/>
    <col min="4105" max="4105" width="11.59765625" customWidth="1"/>
    <col min="4106" max="4106" width="8.1328125" customWidth="1"/>
    <col min="4107" max="4107" width="10.796875" customWidth="1"/>
    <col min="4108" max="4108" width="6.3984375" customWidth="1"/>
    <col min="4109" max="4109" width="9.73046875" customWidth="1"/>
    <col min="4110" max="4110" width="8.9296875" customWidth="1"/>
    <col min="4114" max="4114" width="7.06640625" customWidth="1"/>
    <col min="4353" max="4353" width="9.73046875" customWidth="1"/>
    <col min="4354" max="4354" width="29.46484375" customWidth="1"/>
    <col min="4355" max="4355" width="5.19921875" customWidth="1"/>
    <col min="4356" max="4356" width="5.33203125" customWidth="1"/>
    <col min="4357" max="4357" width="4.3984375" customWidth="1"/>
    <col min="4358" max="4358" width="6" customWidth="1"/>
    <col min="4359" max="4359" width="4.3984375" customWidth="1"/>
    <col min="4361" max="4361" width="11.59765625" customWidth="1"/>
    <col min="4362" max="4362" width="8.1328125" customWidth="1"/>
    <col min="4363" max="4363" width="10.796875" customWidth="1"/>
    <col min="4364" max="4364" width="6.3984375" customWidth="1"/>
    <col min="4365" max="4365" width="9.73046875" customWidth="1"/>
    <col min="4366" max="4366" width="8.9296875" customWidth="1"/>
    <col min="4370" max="4370" width="7.06640625" customWidth="1"/>
    <col min="4609" max="4609" width="9.73046875" customWidth="1"/>
    <col min="4610" max="4610" width="29.46484375" customWidth="1"/>
    <col min="4611" max="4611" width="5.19921875" customWidth="1"/>
    <col min="4612" max="4612" width="5.33203125" customWidth="1"/>
    <col min="4613" max="4613" width="4.3984375" customWidth="1"/>
    <col min="4614" max="4614" width="6" customWidth="1"/>
    <col min="4615" max="4615" width="4.3984375" customWidth="1"/>
    <col min="4617" max="4617" width="11.59765625" customWidth="1"/>
    <col min="4618" max="4618" width="8.1328125" customWidth="1"/>
    <col min="4619" max="4619" width="10.796875" customWidth="1"/>
    <col min="4620" max="4620" width="6.3984375" customWidth="1"/>
    <col min="4621" max="4621" width="9.73046875" customWidth="1"/>
    <col min="4622" max="4622" width="8.9296875" customWidth="1"/>
    <col min="4626" max="4626" width="7.06640625" customWidth="1"/>
    <col min="4865" max="4865" width="9.73046875" customWidth="1"/>
    <col min="4866" max="4866" width="29.46484375" customWidth="1"/>
    <col min="4867" max="4867" width="5.19921875" customWidth="1"/>
    <col min="4868" max="4868" width="5.33203125" customWidth="1"/>
    <col min="4869" max="4869" width="4.3984375" customWidth="1"/>
    <col min="4870" max="4870" width="6" customWidth="1"/>
    <col min="4871" max="4871" width="4.3984375" customWidth="1"/>
    <col min="4873" max="4873" width="11.59765625" customWidth="1"/>
    <col min="4874" max="4874" width="8.1328125" customWidth="1"/>
    <col min="4875" max="4875" width="10.796875" customWidth="1"/>
    <col min="4876" max="4876" width="6.3984375" customWidth="1"/>
    <col min="4877" max="4877" width="9.73046875" customWidth="1"/>
    <col min="4878" max="4878" width="8.9296875" customWidth="1"/>
    <col min="4882" max="4882" width="7.06640625" customWidth="1"/>
    <col min="5121" max="5121" width="9.73046875" customWidth="1"/>
    <col min="5122" max="5122" width="29.46484375" customWidth="1"/>
    <col min="5123" max="5123" width="5.19921875" customWidth="1"/>
    <col min="5124" max="5124" width="5.33203125" customWidth="1"/>
    <col min="5125" max="5125" width="4.3984375" customWidth="1"/>
    <col min="5126" max="5126" width="6" customWidth="1"/>
    <col min="5127" max="5127" width="4.3984375" customWidth="1"/>
    <col min="5129" max="5129" width="11.59765625" customWidth="1"/>
    <col min="5130" max="5130" width="8.1328125" customWidth="1"/>
    <col min="5131" max="5131" width="10.796875" customWidth="1"/>
    <col min="5132" max="5132" width="6.3984375" customWidth="1"/>
    <col min="5133" max="5133" width="9.73046875" customWidth="1"/>
    <col min="5134" max="5134" width="8.9296875" customWidth="1"/>
    <col min="5138" max="5138" width="7.06640625" customWidth="1"/>
    <col min="5377" max="5377" width="9.73046875" customWidth="1"/>
    <col min="5378" max="5378" width="29.46484375" customWidth="1"/>
    <col min="5379" max="5379" width="5.19921875" customWidth="1"/>
    <col min="5380" max="5380" width="5.33203125" customWidth="1"/>
    <col min="5381" max="5381" width="4.3984375" customWidth="1"/>
    <col min="5382" max="5382" width="6" customWidth="1"/>
    <col min="5383" max="5383" width="4.3984375" customWidth="1"/>
    <col min="5385" max="5385" width="11.59765625" customWidth="1"/>
    <col min="5386" max="5386" width="8.1328125" customWidth="1"/>
    <col min="5387" max="5387" width="10.796875" customWidth="1"/>
    <col min="5388" max="5388" width="6.3984375" customWidth="1"/>
    <col min="5389" max="5389" width="9.73046875" customWidth="1"/>
    <col min="5390" max="5390" width="8.9296875" customWidth="1"/>
    <col min="5394" max="5394" width="7.06640625" customWidth="1"/>
    <col min="5633" max="5633" width="9.73046875" customWidth="1"/>
    <col min="5634" max="5634" width="29.46484375" customWidth="1"/>
    <col min="5635" max="5635" width="5.19921875" customWidth="1"/>
    <col min="5636" max="5636" width="5.33203125" customWidth="1"/>
    <col min="5637" max="5637" width="4.3984375" customWidth="1"/>
    <col min="5638" max="5638" width="6" customWidth="1"/>
    <col min="5639" max="5639" width="4.3984375" customWidth="1"/>
    <col min="5641" max="5641" width="11.59765625" customWidth="1"/>
    <col min="5642" max="5642" width="8.1328125" customWidth="1"/>
    <col min="5643" max="5643" width="10.796875" customWidth="1"/>
    <col min="5644" max="5644" width="6.3984375" customWidth="1"/>
    <col min="5645" max="5645" width="9.73046875" customWidth="1"/>
    <col min="5646" max="5646" width="8.9296875" customWidth="1"/>
    <col min="5650" max="5650" width="7.06640625" customWidth="1"/>
    <col min="5889" max="5889" width="9.73046875" customWidth="1"/>
    <col min="5890" max="5890" width="29.46484375" customWidth="1"/>
    <col min="5891" max="5891" width="5.19921875" customWidth="1"/>
    <col min="5892" max="5892" width="5.33203125" customWidth="1"/>
    <col min="5893" max="5893" width="4.3984375" customWidth="1"/>
    <col min="5894" max="5894" width="6" customWidth="1"/>
    <col min="5895" max="5895" width="4.3984375" customWidth="1"/>
    <col min="5897" max="5897" width="11.59765625" customWidth="1"/>
    <col min="5898" max="5898" width="8.1328125" customWidth="1"/>
    <col min="5899" max="5899" width="10.796875" customWidth="1"/>
    <col min="5900" max="5900" width="6.3984375" customWidth="1"/>
    <col min="5901" max="5901" width="9.73046875" customWidth="1"/>
    <col min="5902" max="5902" width="8.9296875" customWidth="1"/>
    <col min="5906" max="5906" width="7.06640625" customWidth="1"/>
    <col min="6145" max="6145" width="9.73046875" customWidth="1"/>
    <col min="6146" max="6146" width="29.46484375" customWidth="1"/>
    <col min="6147" max="6147" width="5.19921875" customWidth="1"/>
    <col min="6148" max="6148" width="5.33203125" customWidth="1"/>
    <col min="6149" max="6149" width="4.3984375" customWidth="1"/>
    <col min="6150" max="6150" width="6" customWidth="1"/>
    <col min="6151" max="6151" width="4.3984375" customWidth="1"/>
    <col min="6153" max="6153" width="11.59765625" customWidth="1"/>
    <col min="6154" max="6154" width="8.1328125" customWidth="1"/>
    <col min="6155" max="6155" width="10.796875" customWidth="1"/>
    <col min="6156" max="6156" width="6.3984375" customWidth="1"/>
    <col min="6157" max="6157" width="9.73046875" customWidth="1"/>
    <col min="6158" max="6158" width="8.9296875" customWidth="1"/>
    <col min="6162" max="6162" width="7.06640625" customWidth="1"/>
    <col min="6401" max="6401" width="9.73046875" customWidth="1"/>
    <col min="6402" max="6402" width="29.46484375" customWidth="1"/>
    <col min="6403" max="6403" width="5.19921875" customWidth="1"/>
    <col min="6404" max="6404" width="5.33203125" customWidth="1"/>
    <col min="6405" max="6405" width="4.3984375" customWidth="1"/>
    <col min="6406" max="6406" width="6" customWidth="1"/>
    <col min="6407" max="6407" width="4.3984375" customWidth="1"/>
    <col min="6409" max="6409" width="11.59765625" customWidth="1"/>
    <col min="6410" max="6410" width="8.1328125" customWidth="1"/>
    <col min="6411" max="6411" width="10.796875" customWidth="1"/>
    <col min="6412" max="6412" width="6.3984375" customWidth="1"/>
    <col min="6413" max="6413" width="9.73046875" customWidth="1"/>
    <col min="6414" max="6414" width="8.9296875" customWidth="1"/>
    <col min="6418" max="6418" width="7.06640625" customWidth="1"/>
    <col min="6657" max="6657" width="9.73046875" customWidth="1"/>
    <col min="6658" max="6658" width="29.46484375" customWidth="1"/>
    <col min="6659" max="6659" width="5.19921875" customWidth="1"/>
    <col min="6660" max="6660" width="5.33203125" customWidth="1"/>
    <col min="6661" max="6661" width="4.3984375" customWidth="1"/>
    <col min="6662" max="6662" width="6" customWidth="1"/>
    <col min="6663" max="6663" width="4.3984375" customWidth="1"/>
    <col min="6665" max="6665" width="11.59765625" customWidth="1"/>
    <col min="6666" max="6666" width="8.1328125" customWidth="1"/>
    <col min="6667" max="6667" width="10.796875" customWidth="1"/>
    <col min="6668" max="6668" width="6.3984375" customWidth="1"/>
    <col min="6669" max="6669" width="9.73046875" customWidth="1"/>
    <col min="6670" max="6670" width="8.9296875" customWidth="1"/>
    <col min="6674" max="6674" width="7.06640625" customWidth="1"/>
    <col min="6913" max="6913" width="9.73046875" customWidth="1"/>
    <col min="6914" max="6914" width="29.46484375" customWidth="1"/>
    <col min="6915" max="6915" width="5.19921875" customWidth="1"/>
    <col min="6916" max="6916" width="5.33203125" customWidth="1"/>
    <col min="6917" max="6917" width="4.3984375" customWidth="1"/>
    <col min="6918" max="6918" width="6" customWidth="1"/>
    <col min="6919" max="6919" width="4.3984375" customWidth="1"/>
    <col min="6921" max="6921" width="11.59765625" customWidth="1"/>
    <col min="6922" max="6922" width="8.1328125" customWidth="1"/>
    <col min="6923" max="6923" width="10.796875" customWidth="1"/>
    <col min="6924" max="6924" width="6.3984375" customWidth="1"/>
    <col min="6925" max="6925" width="9.73046875" customWidth="1"/>
    <col min="6926" max="6926" width="8.9296875" customWidth="1"/>
    <col min="6930" max="6930" width="7.06640625" customWidth="1"/>
    <col min="7169" max="7169" width="9.73046875" customWidth="1"/>
    <col min="7170" max="7170" width="29.46484375" customWidth="1"/>
    <col min="7171" max="7171" width="5.19921875" customWidth="1"/>
    <col min="7172" max="7172" width="5.33203125" customWidth="1"/>
    <col min="7173" max="7173" width="4.3984375" customWidth="1"/>
    <col min="7174" max="7174" width="6" customWidth="1"/>
    <col min="7175" max="7175" width="4.3984375" customWidth="1"/>
    <col min="7177" max="7177" width="11.59765625" customWidth="1"/>
    <col min="7178" max="7178" width="8.1328125" customWidth="1"/>
    <col min="7179" max="7179" width="10.796875" customWidth="1"/>
    <col min="7180" max="7180" width="6.3984375" customWidth="1"/>
    <col min="7181" max="7181" width="9.73046875" customWidth="1"/>
    <col min="7182" max="7182" width="8.9296875" customWidth="1"/>
    <col min="7186" max="7186" width="7.06640625" customWidth="1"/>
    <col min="7425" max="7425" width="9.73046875" customWidth="1"/>
    <col min="7426" max="7426" width="29.46484375" customWidth="1"/>
    <col min="7427" max="7427" width="5.19921875" customWidth="1"/>
    <col min="7428" max="7428" width="5.33203125" customWidth="1"/>
    <col min="7429" max="7429" width="4.3984375" customWidth="1"/>
    <col min="7430" max="7430" width="6" customWidth="1"/>
    <col min="7431" max="7431" width="4.3984375" customWidth="1"/>
    <col min="7433" max="7433" width="11.59765625" customWidth="1"/>
    <col min="7434" max="7434" width="8.1328125" customWidth="1"/>
    <col min="7435" max="7435" width="10.796875" customWidth="1"/>
    <col min="7436" max="7436" width="6.3984375" customWidth="1"/>
    <col min="7437" max="7437" width="9.73046875" customWidth="1"/>
    <col min="7438" max="7438" width="8.9296875" customWidth="1"/>
    <col min="7442" max="7442" width="7.06640625" customWidth="1"/>
    <col min="7681" max="7681" width="9.73046875" customWidth="1"/>
    <col min="7682" max="7682" width="29.46484375" customWidth="1"/>
    <col min="7683" max="7683" width="5.19921875" customWidth="1"/>
    <col min="7684" max="7684" width="5.33203125" customWidth="1"/>
    <col min="7685" max="7685" width="4.3984375" customWidth="1"/>
    <col min="7686" max="7686" width="6" customWidth="1"/>
    <col min="7687" max="7687" width="4.3984375" customWidth="1"/>
    <col min="7689" max="7689" width="11.59765625" customWidth="1"/>
    <col min="7690" max="7690" width="8.1328125" customWidth="1"/>
    <col min="7691" max="7691" width="10.796875" customWidth="1"/>
    <col min="7692" max="7692" width="6.3984375" customWidth="1"/>
    <col min="7693" max="7693" width="9.73046875" customWidth="1"/>
    <col min="7694" max="7694" width="8.9296875" customWidth="1"/>
    <col min="7698" max="7698" width="7.06640625" customWidth="1"/>
    <col min="7937" max="7937" width="9.73046875" customWidth="1"/>
    <col min="7938" max="7938" width="29.46484375" customWidth="1"/>
    <col min="7939" max="7939" width="5.19921875" customWidth="1"/>
    <col min="7940" max="7940" width="5.33203125" customWidth="1"/>
    <col min="7941" max="7941" width="4.3984375" customWidth="1"/>
    <col min="7942" max="7942" width="6" customWidth="1"/>
    <col min="7943" max="7943" width="4.3984375" customWidth="1"/>
    <col min="7945" max="7945" width="11.59765625" customWidth="1"/>
    <col min="7946" max="7946" width="8.1328125" customWidth="1"/>
    <col min="7947" max="7947" width="10.796875" customWidth="1"/>
    <col min="7948" max="7948" width="6.3984375" customWidth="1"/>
    <col min="7949" max="7949" width="9.73046875" customWidth="1"/>
    <col min="7950" max="7950" width="8.9296875" customWidth="1"/>
    <col min="7954" max="7954" width="7.06640625" customWidth="1"/>
    <col min="8193" max="8193" width="9.73046875" customWidth="1"/>
    <col min="8194" max="8194" width="29.46484375" customWidth="1"/>
    <col min="8195" max="8195" width="5.19921875" customWidth="1"/>
    <col min="8196" max="8196" width="5.33203125" customWidth="1"/>
    <col min="8197" max="8197" width="4.3984375" customWidth="1"/>
    <col min="8198" max="8198" width="6" customWidth="1"/>
    <col min="8199" max="8199" width="4.3984375" customWidth="1"/>
    <col min="8201" max="8201" width="11.59765625" customWidth="1"/>
    <col min="8202" max="8202" width="8.1328125" customWidth="1"/>
    <col min="8203" max="8203" width="10.796875" customWidth="1"/>
    <col min="8204" max="8204" width="6.3984375" customWidth="1"/>
    <col min="8205" max="8205" width="9.73046875" customWidth="1"/>
    <col min="8206" max="8206" width="8.9296875" customWidth="1"/>
    <col min="8210" max="8210" width="7.06640625" customWidth="1"/>
    <col min="8449" max="8449" width="9.73046875" customWidth="1"/>
    <col min="8450" max="8450" width="29.46484375" customWidth="1"/>
    <col min="8451" max="8451" width="5.19921875" customWidth="1"/>
    <col min="8452" max="8452" width="5.33203125" customWidth="1"/>
    <col min="8453" max="8453" width="4.3984375" customWidth="1"/>
    <col min="8454" max="8454" width="6" customWidth="1"/>
    <col min="8455" max="8455" width="4.3984375" customWidth="1"/>
    <col min="8457" max="8457" width="11.59765625" customWidth="1"/>
    <col min="8458" max="8458" width="8.1328125" customWidth="1"/>
    <col min="8459" max="8459" width="10.796875" customWidth="1"/>
    <col min="8460" max="8460" width="6.3984375" customWidth="1"/>
    <col min="8461" max="8461" width="9.73046875" customWidth="1"/>
    <col min="8462" max="8462" width="8.9296875" customWidth="1"/>
    <col min="8466" max="8466" width="7.06640625" customWidth="1"/>
    <col min="8705" max="8705" width="9.73046875" customWidth="1"/>
    <col min="8706" max="8706" width="29.46484375" customWidth="1"/>
    <col min="8707" max="8707" width="5.19921875" customWidth="1"/>
    <col min="8708" max="8708" width="5.33203125" customWidth="1"/>
    <col min="8709" max="8709" width="4.3984375" customWidth="1"/>
    <col min="8710" max="8710" width="6" customWidth="1"/>
    <col min="8711" max="8711" width="4.3984375" customWidth="1"/>
    <col min="8713" max="8713" width="11.59765625" customWidth="1"/>
    <col min="8714" max="8714" width="8.1328125" customWidth="1"/>
    <col min="8715" max="8715" width="10.796875" customWidth="1"/>
    <col min="8716" max="8716" width="6.3984375" customWidth="1"/>
    <col min="8717" max="8717" width="9.73046875" customWidth="1"/>
    <col min="8718" max="8718" width="8.9296875" customWidth="1"/>
    <col min="8722" max="8722" width="7.06640625" customWidth="1"/>
    <col min="8961" max="8961" width="9.73046875" customWidth="1"/>
    <col min="8962" max="8962" width="29.46484375" customWidth="1"/>
    <col min="8963" max="8963" width="5.19921875" customWidth="1"/>
    <col min="8964" max="8964" width="5.33203125" customWidth="1"/>
    <col min="8965" max="8965" width="4.3984375" customWidth="1"/>
    <col min="8966" max="8966" width="6" customWidth="1"/>
    <col min="8967" max="8967" width="4.3984375" customWidth="1"/>
    <col min="8969" max="8969" width="11.59765625" customWidth="1"/>
    <col min="8970" max="8970" width="8.1328125" customWidth="1"/>
    <col min="8971" max="8971" width="10.796875" customWidth="1"/>
    <col min="8972" max="8972" width="6.3984375" customWidth="1"/>
    <col min="8973" max="8973" width="9.73046875" customWidth="1"/>
    <col min="8974" max="8974" width="8.9296875" customWidth="1"/>
    <col min="8978" max="8978" width="7.06640625" customWidth="1"/>
    <col min="9217" max="9217" width="9.73046875" customWidth="1"/>
    <col min="9218" max="9218" width="29.46484375" customWidth="1"/>
    <col min="9219" max="9219" width="5.19921875" customWidth="1"/>
    <col min="9220" max="9220" width="5.33203125" customWidth="1"/>
    <col min="9221" max="9221" width="4.3984375" customWidth="1"/>
    <col min="9222" max="9222" width="6" customWidth="1"/>
    <col min="9223" max="9223" width="4.3984375" customWidth="1"/>
    <col min="9225" max="9225" width="11.59765625" customWidth="1"/>
    <col min="9226" max="9226" width="8.1328125" customWidth="1"/>
    <col min="9227" max="9227" width="10.796875" customWidth="1"/>
    <col min="9228" max="9228" width="6.3984375" customWidth="1"/>
    <col min="9229" max="9229" width="9.73046875" customWidth="1"/>
    <col min="9230" max="9230" width="8.9296875" customWidth="1"/>
    <col min="9234" max="9234" width="7.06640625" customWidth="1"/>
    <col min="9473" max="9473" width="9.73046875" customWidth="1"/>
    <col min="9474" max="9474" width="29.46484375" customWidth="1"/>
    <col min="9475" max="9475" width="5.19921875" customWidth="1"/>
    <col min="9476" max="9476" width="5.33203125" customWidth="1"/>
    <col min="9477" max="9477" width="4.3984375" customWidth="1"/>
    <col min="9478" max="9478" width="6" customWidth="1"/>
    <col min="9479" max="9479" width="4.3984375" customWidth="1"/>
    <col min="9481" max="9481" width="11.59765625" customWidth="1"/>
    <col min="9482" max="9482" width="8.1328125" customWidth="1"/>
    <col min="9483" max="9483" width="10.796875" customWidth="1"/>
    <col min="9484" max="9484" width="6.3984375" customWidth="1"/>
    <col min="9485" max="9485" width="9.73046875" customWidth="1"/>
    <col min="9486" max="9486" width="8.9296875" customWidth="1"/>
    <col min="9490" max="9490" width="7.06640625" customWidth="1"/>
    <col min="9729" max="9729" width="9.73046875" customWidth="1"/>
    <col min="9730" max="9730" width="29.46484375" customWidth="1"/>
    <col min="9731" max="9731" width="5.19921875" customWidth="1"/>
    <col min="9732" max="9732" width="5.33203125" customWidth="1"/>
    <col min="9733" max="9733" width="4.3984375" customWidth="1"/>
    <col min="9734" max="9734" width="6" customWidth="1"/>
    <col min="9735" max="9735" width="4.3984375" customWidth="1"/>
    <col min="9737" max="9737" width="11.59765625" customWidth="1"/>
    <col min="9738" max="9738" width="8.1328125" customWidth="1"/>
    <col min="9739" max="9739" width="10.796875" customWidth="1"/>
    <col min="9740" max="9740" width="6.3984375" customWidth="1"/>
    <col min="9741" max="9741" width="9.73046875" customWidth="1"/>
    <col min="9742" max="9742" width="8.9296875" customWidth="1"/>
    <col min="9746" max="9746" width="7.06640625" customWidth="1"/>
    <col min="9985" max="9985" width="9.73046875" customWidth="1"/>
    <col min="9986" max="9986" width="29.46484375" customWidth="1"/>
    <col min="9987" max="9987" width="5.19921875" customWidth="1"/>
    <col min="9988" max="9988" width="5.33203125" customWidth="1"/>
    <col min="9989" max="9989" width="4.3984375" customWidth="1"/>
    <col min="9990" max="9990" width="6" customWidth="1"/>
    <col min="9991" max="9991" width="4.3984375" customWidth="1"/>
    <col min="9993" max="9993" width="11.59765625" customWidth="1"/>
    <col min="9994" max="9994" width="8.1328125" customWidth="1"/>
    <col min="9995" max="9995" width="10.796875" customWidth="1"/>
    <col min="9996" max="9996" width="6.3984375" customWidth="1"/>
    <col min="9997" max="9997" width="9.73046875" customWidth="1"/>
    <col min="9998" max="9998" width="8.9296875" customWidth="1"/>
    <col min="10002" max="10002" width="7.06640625" customWidth="1"/>
    <col min="10241" max="10241" width="9.73046875" customWidth="1"/>
    <col min="10242" max="10242" width="29.46484375" customWidth="1"/>
    <col min="10243" max="10243" width="5.19921875" customWidth="1"/>
    <col min="10244" max="10244" width="5.33203125" customWidth="1"/>
    <col min="10245" max="10245" width="4.3984375" customWidth="1"/>
    <col min="10246" max="10246" width="6" customWidth="1"/>
    <col min="10247" max="10247" width="4.3984375" customWidth="1"/>
    <col min="10249" max="10249" width="11.59765625" customWidth="1"/>
    <col min="10250" max="10250" width="8.1328125" customWidth="1"/>
    <col min="10251" max="10251" width="10.796875" customWidth="1"/>
    <col min="10252" max="10252" width="6.3984375" customWidth="1"/>
    <col min="10253" max="10253" width="9.73046875" customWidth="1"/>
    <col min="10254" max="10254" width="8.9296875" customWidth="1"/>
    <col min="10258" max="10258" width="7.06640625" customWidth="1"/>
    <col min="10497" max="10497" width="9.73046875" customWidth="1"/>
    <col min="10498" max="10498" width="29.46484375" customWidth="1"/>
    <col min="10499" max="10499" width="5.19921875" customWidth="1"/>
    <col min="10500" max="10500" width="5.33203125" customWidth="1"/>
    <col min="10501" max="10501" width="4.3984375" customWidth="1"/>
    <col min="10502" max="10502" width="6" customWidth="1"/>
    <col min="10503" max="10503" width="4.3984375" customWidth="1"/>
    <col min="10505" max="10505" width="11.59765625" customWidth="1"/>
    <col min="10506" max="10506" width="8.1328125" customWidth="1"/>
    <col min="10507" max="10507" width="10.796875" customWidth="1"/>
    <col min="10508" max="10508" width="6.3984375" customWidth="1"/>
    <col min="10509" max="10509" width="9.73046875" customWidth="1"/>
    <col min="10510" max="10510" width="8.9296875" customWidth="1"/>
    <col min="10514" max="10514" width="7.06640625" customWidth="1"/>
    <col min="10753" max="10753" width="9.73046875" customWidth="1"/>
    <col min="10754" max="10754" width="29.46484375" customWidth="1"/>
    <col min="10755" max="10755" width="5.19921875" customWidth="1"/>
    <col min="10756" max="10756" width="5.33203125" customWidth="1"/>
    <col min="10757" max="10757" width="4.3984375" customWidth="1"/>
    <col min="10758" max="10758" width="6" customWidth="1"/>
    <col min="10759" max="10759" width="4.3984375" customWidth="1"/>
    <col min="10761" max="10761" width="11.59765625" customWidth="1"/>
    <col min="10762" max="10762" width="8.1328125" customWidth="1"/>
    <col min="10763" max="10763" width="10.796875" customWidth="1"/>
    <col min="10764" max="10764" width="6.3984375" customWidth="1"/>
    <col min="10765" max="10765" width="9.73046875" customWidth="1"/>
    <col min="10766" max="10766" width="8.9296875" customWidth="1"/>
    <col min="10770" max="10770" width="7.06640625" customWidth="1"/>
    <col min="11009" max="11009" width="9.73046875" customWidth="1"/>
    <col min="11010" max="11010" width="29.46484375" customWidth="1"/>
    <col min="11011" max="11011" width="5.19921875" customWidth="1"/>
    <col min="11012" max="11012" width="5.33203125" customWidth="1"/>
    <col min="11013" max="11013" width="4.3984375" customWidth="1"/>
    <col min="11014" max="11014" width="6" customWidth="1"/>
    <col min="11015" max="11015" width="4.3984375" customWidth="1"/>
    <col min="11017" max="11017" width="11.59765625" customWidth="1"/>
    <col min="11018" max="11018" width="8.1328125" customWidth="1"/>
    <col min="11019" max="11019" width="10.796875" customWidth="1"/>
    <col min="11020" max="11020" width="6.3984375" customWidth="1"/>
    <col min="11021" max="11021" width="9.73046875" customWidth="1"/>
    <col min="11022" max="11022" width="8.9296875" customWidth="1"/>
    <col min="11026" max="11026" width="7.06640625" customWidth="1"/>
    <col min="11265" max="11265" width="9.73046875" customWidth="1"/>
    <col min="11266" max="11266" width="29.46484375" customWidth="1"/>
    <col min="11267" max="11267" width="5.19921875" customWidth="1"/>
    <col min="11268" max="11268" width="5.33203125" customWidth="1"/>
    <col min="11269" max="11269" width="4.3984375" customWidth="1"/>
    <col min="11270" max="11270" width="6" customWidth="1"/>
    <col min="11271" max="11271" width="4.3984375" customWidth="1"/>
    <col min="11273" max="11273" width="11.59765625" customWidth="1"/>
    <col min="11274" max="11274" width="8.1328125" customWidth="1"/>
    <col min="11275" max="11275" width="10.796875" customWidth="1"/>
    <col min="11276" max="11276" width="6.3984375" customWidth="1"/>
    <col min="11277" max="11277" width="9.73046875" customWidth="1"/>
    <col min="11278" max="11278" width="8.9296875" customWidth="1"/>
    <col min="11282" max="11282" width="7.06640625" customWidth="1"/>
    <col min="11521" max="11521" width="9.73046875" customWidth="1"/>
    <col min="11522" max="11522" width="29.46484375" customWidth="1"/>
    <col min="11523" max="11523" width="5.19921875" customWidth="1"/>
    <col min="11524" max="11524" width="5.33203125" customWidth="1"/>
    <col min="11525" max="11525" width="4.3984375" customWidth="1"/>
    <col min="11526" max="11526" width="6" customWidth="1"/>
    <col min="11527" max="11527" width="4.3984375" customWidth="1"/>
    <col min="11529" max="11529" width="11.59765625" customWidth="1"/>
    <col min="11530" max="11530" width="8.1328125" customWidth="1"/>
    <col min="11531" max="11531" width="10.796875" customWidth="1"/>
    <col min="11532" max="11532" width="6.3984375" customWidth="1"/>
    <col min="11533" max="11533" width="9.73046875" customWidth="1"/>
    <col min="11534" max="11534" width="8.9296875" customWidth="1"/>
    <col min="11538" max="11538" width="7.06640625" customWidth="1"/>
    <col min="11777" max="11777" width="9.73046875" customWidth="1"/>
    <col min="11778" max="11778" width="29.46484375" customWidth="1"/>
    <col min="11779" max="11779" width="5.19921875" customWidth="1"/>
    <col min="11780" max="11780" width="5.33203125" customWidth="1"/>
    <col min="11781" max="11781" width="4.3984375" customWidth="1"/>
    <col min="11782" max="11782" width="6" customWidth="1"/>
    <col min="11783" max="11783" width="4.3984375" customWidth="1"/>
    <col min="11785" max="11785" width="11.59765625" customWidth="1"/>
    <col min="11786" max="11786" width="8.1328125" customWidth="1"/>
    <col min="11787" max="11787" width="10.796875" customWidth="1"/>
    <col min="11788" max="11788" width="6.3984375" customWidth="1"/>
    <col min="11789" max="11789" width="9.73046875" customWidth="1"/>
    <col min="11790" max="11790" width="8.9296875" customWidth="1"/>
    <col min="11794" max="11794" width="7.06640625" customWidth="1"/>
    <col min="12033" max="12033" width="9.73046875" customWidth="1"/>
    <col min="12034" max="12034" width="29.46484375" customWidth="1"/>
    <col min="12035" max="12035" width="5.19921875" customWidth="1"/>
    <col min="12036" max="12036" width="5.33203125" customWidth="1"/>
    <col min="12037" max="12037" width="4.3984375" customWidth="1"/>
    <col min="12038" max="12038" width="6" customWidth="1"/>
    <col min="12039" max="12039" width="4.3984375" customWidth="1"/>
    <col min="12041" max="12041" width="11.59765625" customWidth="1"/>
    <col min="12042" max="12042" width="8.1328125" customWidth="1"/>
    <col min="12043" max="12043" width="10.796875" customWidth="1"/>
    <col min="12044" max="12044" width="6.3984375" customWidth="1"/>
    <col min="12045" max="12045" width="9.73046875" customWidth="1"/>
    <col min="12046" max="12046" width="8.9296875" customWidth="1"/>
    <col min="12050" max="12050" width="7.06640625" customWidth="1"/>
    <col min="12289" max="12289" width="9.73046875" customWidth="1"/>
    <col min="12290" max="12290" width="29.46484375" customWidth="1"/>
    <col min="12291" max="12291" width="5.19921875" customWidth="1"/>
    <col min="12292" max="12292" width="5.33203125" customWidth="1"/>
    <col min="12293" max="12293" width="4.3984375" customWidth="1"/>
    <col min="12294" max="12294" width="6" customWidth="1"/>
    <col min="12295" max="12295" width="4.3984375" customWidth="1"/>
    <col min="12297" max="12297" width="11.59765625" customWidth="1"/>
    <col min="12298" max="12298" width="8.1328125" customWidth="1"/>
    <col min="12299" max="12299" width="10.796875" customWidth="1"/>
    <col min="12300" max="12300" width="6.3984375" customWidth="1"/>
    <col min="12301" max="12301" width="9.73046875" customWidth="1"/>
    <col min="12302" max="12302" width="8.9296875" customWidth="1"/>
    <col min="12306" max="12306" width="7.06640625" customWidth="1"/>
    <col min="12545" max="12545" width="9.73046875" customWidth="1"/>
    <col min="12546" max="12546" width="29.46484375" customWidth="1"/>
    <col min="12547" max="12547" width="5.19921875" customWidth="1"/>
    <col min="12548" max="12548" width="5.33203125" customWidth="1"/>
    <col min="12549" max="12549" width="4.3984375" customWidth="1"/>
    <col min="12550" max="12550" width="6" customWidth="1"/>
    <col min="12551" max="12551" width="4.3984375" customWidth="1"/>
    <col min="12553" max="12553" width="11.59765625" customWidth="1"/>
    <col min="12554" max="12554" width="8.1328125" customWidth="1"/>
    <col min="12555" max="12555" width="10.796875" customWidth="1"/>
    <col min="12556" max="12556" width="6.3984375" customWidth="1"/>
    <col min="12557" max="12557" width="9.73046875" customWidth="1"/>
    <col min="12558" max="12558" width="8.9296875" customWidth="1"/>
    <col min="12562" max="12562" width="7.06640625" customWidth="1"/>
    <col min="12801" max="12801" width="9.73046875" customWidth="1"/>
    <col min="12802" max="12802" width="29.46484375" customWidth="1"/>
    <col min="12803" max="12803" width="5.19921875" customWidth="1"/>
    <col min="12804" max="12804" width="5.33203125" customWidth="1"/>
    <col min="12805" max="12805" width="4.3984375" customWidth="1"/>
    <col min="12806" max="12806" width="6" customWidth="1"/>
    <col min="12807" max="12807" width="4.3984375" customWidth="1"/>
    <col min="12809" max="12809" width="11.59765625" customWidth="1"/>
    <col min="12810" max="12810" width="8.1328125" customWidth="1"/>
    <col min="12811" max="12811" width="10.796875" customWidth="1"/>
    <col min="12812" max="12812" width="6.3984375" customWidth="1"/>
    <col min="12813" max="12813" width="9.73046875" customWidth="1"/>
    <col min="12814" max="12814" width="8.9296875" customWidth="1"/>
    <col min="12818" max="12818" width="7.06640625" customWidth="1"/>
    <col min="13057" max="13057" width="9.73046875" customWidth="1"/>
    <col min="13058" max="13058" width="29.46484375" customWidth="1"/>
    <col min="13059" max="13059" width="5.19921875" customWidth="1"/>
    <col min="13060" max="13060" width="5.33203125" customWidth="1"/>
    <col min="13061" max="13061" width="4.3984375" customWidth="1"/>
    <col min="13062" max="13062" width="6" customWidth="1"/>
    <col min="13063" max="13063" width="4.3984375" customWidth="1"/>
    <col min="13065" max="13065" width="11.59765625" customWidth="1"/>
    <col min="13066" max="13066" width="8.1328125" customWidth="1"/>
    <col min="13067" max="13067" width="10.796875" customWidth="1"/>
    <col min="13068" max="13068" width="6.3984375" customWidth="1"/>
    <col min="13069" max="13069" width="9.73046875" customWidth="1"/>
    <col min="13070" max="13070" width="8.9296875" customWidth="1"/>
    <col min="13074" max="13074" width="7.06640625" customWidth="1"/>
    <col min="13313" max="13313" width="9.73046875" customWidth="1"/>
    <col min="13314" max="13314" width="29.46484375" customWidth="1"/>
    <col min="13315" max="13315" width="5.19921875" customWidth="1"/>
    <col min="13316" max="13316" width="5.33203125" customWidth="1"/>
    <col min="13317" max="13317" width="4.3984375" customWidth="1"/>
    <col min="13318" max="13318" width="6" customWidth="1"/>
    <col min="13319" max="13319" width="4.3984375" customWidth="1"/>
    <col min="13321" max="13321" width="11.59765625" customWidth="1"/>
    <col min="13322" max="13322" width="8.1328125" customWidth="1"/>
    <col min="13323" max="13323" width="10.796875" customWidth="1"/>
    <col min="13324" max="13324" width="6.3984375" customWidth="1"/>
    <col min="13325" max="13325" width="9.73046875" customWidth="1"/>
    <col min="13326" max="13326" width="8.9296875" customWidth="1"/>
    <col min="13330" max="13330" width="7.06640625" customWidth="1"/>
    <col min="13569" max="13569" width="9.73046875" customWidth="1"/>
    <col min="13570" max="13570" width="29.46484375" customWidth="1"/>
    <col min="13571" max="13571" width="5.19921875" customWidth="1"/>
    <col min="13572" max="13572" width="5.33203125" customWidth="1"/>
    <col min="13573" max="13573" width="4.3984375" customWidth="1"/>
    <col min="13574" max="13574" width="6" customWidth="1"/>
    <col min="13575" max="13575" width="4.3984375" customWidth="1"/>
    <col min="13577" max="13577" width="11.59765625" customWidth="1"/>
    <col min="13578" max="13578" width="8.1328125" customWidth="1"/>
    <col min="13579" max="13579" width="10.796875" customWidth="1"/>
    <col min="13580" max="13580" width="6.3984375" customWidth="1"/>
    <col min="13581" max="13581" width="9.73046875" customWidth="1"/>
    <col min="13582" max="13582" width="8.9296875" customWidth="1"/>
    <col min="13586" max="13586" width="7.06640625" customWidth="1"/>
    <col min="13825" max="13825" width="9.73046875" customWidth="1"/>
    <col min="13826" max="13826" width="29.46484375" customWidth="1"/>
    <col min="13827" max="13827" width="5.19921875" customWidth="1"/>
    <col min="13828" max="13828" width="5.33203125" customWidth="1"/>
    <col min="13829" max="13829" width="4.3984375" customWidth="1"/>
    <col min="13830" max="13830" width="6" customWidth="1"/>
    <col min="13831" max="13831" width="4.3984375" customWidth="1"/>
    <col min="13833" max="13833" width="11.59765625" customWidth="1"/>
    <col min="13834" max="13834" width="8.1328125" customWidth="1"/>
    <col min="13835" max="13835" width="10.796875" customWidth="1"/>
    <col min="13836" max="13836" width="6.3984375" customWidth="1"/>
    <col min="13837" max="13837" width="9.73046875" customWidth="1"/>
    <col min="13838" max="13838" width="8.9296875" customWidth="1"/>
    <col min="13842" max="13842" width="7.06640625" customWidth="1"/>
    <col min="14081" max="14081" width="9.73046875" customWidth="1"/>
    <col min="14082" max="14082" width="29.46484375" customWidth="1"/>
    <col min="14083" max="14083" width="5.19921875" customWidth="1"/>
    <col min="14084" max="14084" width="5.33203125" customWidth="1"/>
    <col min="14085" max="14085" width="4.3984375" customWidth="1"/>
    <col min="14086" max="14086" width="6" customWidth="1"/>
    <col min="14087" max="14087" width="4.3984375" customWidth="1"/>
    <col min="14089" max="14089" width="11.59765625" customWidth="1"/>
    <col min="14090" max="14090" width="8.1328125" customWidth="1"/>
    <col min="14091" max="14091" width="10.796875" customWidth="1"/>
    <col min="14092" max="14092" width="6.3984375" customWidth="1"/>
    <col min="14093" max="14093" width="9.73046875" customWidth="1"/>
    <col min="14094" max="14094" width="8.9296875" customWidth="1"/>
    <col min="14098" max="14098" width="7.06640625" customWidth="1"/>
    <col min="14337" max="14337" width="9.73046875" customWidth="1"/>
    <col min="14338" max="14338" width="29.46484375" customWidth="1"/>
    <col min="14339" max="14339" width="5.19921875" customWidth="1"/>
    <col min="14340" max="14340" width="5.33203125" customWidth="1"/>
    <col min="14341" max="14341" width="4.3984375" customWidth="1"/>
    <col min="14342" max="14342" width="6" customWidth="1"/>
    <col min="14343" max="14343" width="4.3984375" customWidth="1"/>
    <col min="14345" max="14345" width="11.59765625" customWidth="1"/>
    <col min="14346" max="14346" width="8.1328125" customWidth="1"/>
    <col min="14347" max="14347" width="10.796875" customWidth="1"/>
    <col min="14348" max="14348" width="6.3984375" customWidth="1"/>
    <col min="14349" max="14349" width="9.73046875" customWidth="1"/>
    <col min="14350" max="14350" width="8.9296875" customWidth="1"/>
    <col min="14354" max="14354" width="7.06640625" customWidth="1"/>
    <col min="14593" max="14593" width="9.73046875" customWidth="1"/>
    <col min="14594" max="14594" width="29.46484375" customWidth="1"/>
    <col min="14595" max="14595" width="5.19921875" customWidth="1"/>
    <col min="14596" max="14596" width="5.33203125" customWidth="1"/>
    <col min="14597" max="14597" width="4.3984375" customWidth="1"/>
    <col min="14598" max="14598" width="6" customWidth="1"/>
    <col min="14599" max="14599" width="4.3984375" customWidth="1"/>
    <col min="14601" max="14601" width="11.59765625" customWidth="1"/>
    <col min="14602" max="14602" width="8.1328125" customWidth="1"/>
    <col min="14603" max="14603" width="10.796875" customWidth="1"/>
    <col min="14604" max="14604" width="6.3984375" customWidth="1"/>
    <col min="14605" max="14605" width="9.73046875" customWidth="1"/>
    <col min="14606" max="14606" width="8.9296875" customWidth="1"/>
    <col min="14610" max="14610" width="7.06640625" customWidth="1"/>
    <col min="14849" max="14849" width="9.73046875" customWidth="1"/>
    <col min="14850" max="14850" width="29.46484375" customWidth="1"/>
    <col min="14851" max="14851" width="5.19921875" customWidth="1"/>
    <col min="14852" max="14852" width="5.33203125" customWidth="1"/>
    <col min="14853" max="14853" width="4.3984375" customWidth="1"/>
    <col min="14854" max="14854" width="6" customWidth="1"/>
    <col min="14855" max="14855" width="4.3984375" customWidth="1"/>
    <col min="14857" max="14857" width="11.59765625" customWidth="1"/>
    <col min="14858" max="14858" width="8.1328125" customWidth="1"/>
    <col min="14859" max="14859" width="10.796875" customWidth="1"/>
    <col min="14860" max="14860" width="6.3984375" customWidth="1"/>
    <col min="14861" max="14861" width="9.73046875" customWidth="1"/>
    <col min="14862" max="14862" width="8.9296875" customWidth="1"/>
    <col min="14866" max="14866" width="7.06640625" customWidth="1"/>
    <col min="15105" max="15105" width="9.73046875" customWidth="1"/>
    <col min="15106" max="15106" width="29.46484375" customWidth="1"/>
    <col min="15107" max="15107" width="5.19921875" customWidth="1"/>
    <col min="15108" max="15108" width="5.33203125" customWidth="1"/>
    <col min="15109" max="15109" width="4.3984375" customWidth="1"/>
    <col min="15110" max="15110" width="6" customWidth="1"/>
    <col min="15111" max="15111" width="4.3984375" customWidth="1"/>
    <col min="15113" max="15113" width="11.59765625" customWidth="1"/>
    <col min="15114" max="15114" width="8.1328125" customWidth="1"/>
    <col min="15115" max="15115" width="10.796875" customWidth="1"/>
    <col min="15116" max="15116" width="6.3984375" customWidth="1"/>
    <col min="15117" max="15117" width="9.73046875" customWidth="1"/>
    <col min="15118" max="15118" width="8.9296875" customWidth="1"/>
    <col min="15122" max="15122" width="7.06640625" customWidth="1"/>
    <col min="15361" max="15361" width="9.73046875" customWidth="1"/>
    <col min="15362" max="15362" width="29.46484375" customWidth="1"/>
    <col min="15363" max="15363" width="5.19921875" customWidth="1"/>
    <col min="15364" max="15364" width="5.33203125" customWidth="1"/>
    <col min="15365" max="15365" width="4.3984375" customWidth="1"/>
    <col min="15366" max="15366" width="6" customWidth="1"/>
    <col min="15367" max="15367" width="4.3984375" customWidth="1"/>
    <col min="15369" max="15369" width="11.59765625" customWidth="1"/>
    <col min="15370" max="15370" width="8.1328125" customWidth="1"/>
    <col min="15371" max="15371" width="10.796875" customWidth="1"/>
    <col min="15372" max="15372" width="6.3984375" customWidth="1"/>
    <col min="15373" max="15373" width="9.73046875" customWidth="1"/>
    <col min="15374" max="15374" width="8.9296875" customWidth="1"/>
    <col min="15378" max="15378" width="7.06640625" customWidth="1"/>
    <col min="15617" max="15617" width="9.73046875" customWidth="1"/>
    <col min="15618" max="15618" width="29.46484375" customWidth="1"/>
    <col min="15619" max="15619" width="5.19921875" customWidth="1"/>
    <col min="15620" max="15620" width="5.33203125" customWidth="1"/>
    <col min="15621" max="15621" width="4.3984375" customWidth="1"/>
    <col min="15622" max="15622" width="6" customWidth="1"/>
    <col min="15623" max="15623" width="4.3984375" customWidth="1"/>
    <col min="15625" max="15625" width="11.59765625" customWidth="1"/>
    <col min="15626" max="15626" width="8.1328125" customWidth="1"/>
    <col min="15627" max="15627" width="10.796875" customWidth="1"/>
    <col min="15628" max="15628" width="6.3984375" customWidth="1"/>
    <col min="15629" max="15629" width="9.73046875" customWidth="1"/>
    <col min="15630" max="15630" width="8.9296875" customWidth="1"/>
    <col min="15634" max="15634" width="7.06640625" customWidth="1"/>
    <col min="15873" max="15873" width="9.73046875" customWidth="1"/>
    <col min="15874" max="15874" width="29.46484375" customWidth="1"/>
    <col min="15875" max="15875" width="5.19921875" customWidth="1"/>
    <col min="15876" max="15876" width="5.33203125" customWidth="1"/>
    <col min="15877" max="15877" width="4.3984375" customWidth="1"/>
    <col min="15878" max="15878" width="6" customWidth="1"/>
    <col min="15879" max="15879" width="4.3984375" customWidth="1"/>
    <col min="15881" max="15881" width="11.59765625" customWidth="1"/>
    <col min="15882" max="15882" width="8.1328125" customWidth="1"/>
    <col min="15883" max="15883" width="10.796875" customWidth="1"/>
    <col min="15884" max="15884" width="6.3984375" customWidth="1"/>
    <col min="15885" max="15885" width="9.73046875" customWidth="1"/>
    <col min="15886" max="15886" width="8.9296875" customWidth="1"/>
    <col min="15890" max="15890" width="7.06640625" customWidth="1"/>
    <col min="16129" max="16129" width="9.73046875" customWidth="1"/>
    <col min="16130" max="16130" width="29.46484375" customWidth="1"/>
    <col min="16131" max="16131" width="5.19921875" customWidth="1"/>
    <col min="16132" max="16132" width="5.33203125" customWidth="1"/>
    <col min="16133" max="16133" width="4.3984375" customWidth="1"/>
    <col min="16134" max="16134" width="6" customWidth="1"/>
    <col min="16135" max="16135" width="4.3984375" customWidth="1"/>
    <col min="16137" max="16137" width="11.59765625" customWidth="1"/>
    <col min="16138" max="16138" width="8.1328125" customWidth="1"/>
    <col min="16139" max="16139" width="10.796875" customWidth="1"/>
    <col min="16140" max="16140" width="6.3984375" customWidth="1"/>
    <col min="16141" max="16141" width="9.73046875" customWidth="1"/>
    <col min="16142" max="16142" width="8.9296875" customWidth="1"/>
    <col min="16146" max="16146" width="7.06640625" customWidth="1"/>
  </cols>
  <sheetData>
    <row r="1" spans="1:23" ht="30.7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3" ht="14.25" thickBot="1" x14ac:dyDescent="0.45"/>
    <row r="3" spans="1:23" ht="15.75" customHeight="1" thickTop="1" x14ac:dyDescent="0.4">
      <c r="A3" s="4" t="s">
        <v>1</v>
      </c>
      <c r="B3" s="5" t="s">
        <v>2</v>
      </c>
      <c r="C3" s="6" t="s">
        <v>3</v>
      </c>
      <c r="D3" s="6"/>
      <c r="E3" s="6"/>
      <c r="F3" s="7">
        <v>45762</v>
      </c>
      <c r="G3" s="6"/>
      <c r="H3" s="6"/>
      <c r="I3" s="6" t="s">
        <v>4</v>
      </c>
      <c r="J3" s="6"/>
      <c r="K3" s="6"/>
      <c r="L3" s="6" t="s">
        <v>5</v>
      </c>
      <c r="M3" s="6"/>
      <c r="N3" s="8"/>
    </row>
    <row r="4" spans="1:23" ht="15.75" customHeight="1" x14ac:dyDescent="0.4">
      <c r="A4" s="9" t="s">
        <v>6</v>
      </c>
      <c r="B4" s="10" t="s">
        <v>7</v>
      </c>
      <c r="C4" s="10" t="s">
        <v>8</v>
      </c>
      <c r="D4" s="11" t="s">
        <v>9</v>
      </c>
      <c r="E4" s="11"/>
      <c r="F4" s="11" t="s">
        <v>10</v>
      </c>
      <c r="G4" s="11"/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2" t="s">
        <v>16</v>
      </c>
      <c r="N4" s="13" t="s">
        <v>17</v>
      </c>
    </row>
    <row r="5" spans="1:23" x14ac:dyDescent="0.4">
      <c r="A5" s="14" t="s">
        <v>18</v>
      </c>
      <c r="B5" s="15" t="s">
        <v>19</v>
      </c>
      <c r="C5" s="16">
        <v>2</v>
      </c>
      <c r="D5" s="16">
        <v>50</v>
      </c>
      <c r="E5" s="16" t="s">
        <v>20</v>
      </c>
      <c r="F5" s="16">
        <v>25.5</v>
      </c>
      <c r="G5" s="17" t="s">
        <v>21</v>
      </c>
      <c r="H5" s="16">
        <f t="shared" ref="H5:H29" si="0">F5*D5*C5</f>
        <v>2550</v>
      </c>
      <c r="I5" s="18">
        <f>SUM(H5:H21)</f>
        <v>22115</v>
      </c>
      <c r="J5" s="18">
        <v>0</v>
      </c>
      <c r="K5" s="18">
        <f>I5-J5</f>
        <v>22115</v>
      </c>
      <c r="L5" s="18">
        <f>SUM(R5:R21)</f>
        <v>2.63</v>
      </c>
      <c r="M5" s="16">
        <v>20</v>
      </c>
      <c r="N5" s="19">
        <f t="shared" ref="N5:N29" si="1">M5*C5</f>
        <v>40</v>
      </c>
      <c r="O5">
        <v>0.09</v>
      </c>
      <c r="R5">
        <f>O5*C5</f>
        <v>0.18</v>
      </c>
    </row>
    <row r="6" spans="1:23" x14ac:dyDescent="0.4">
      <c r="A6" s="14"/>
      <c r="B6" s="15" t="s">
        <v>22</v>
      </c>
      <c r="C6" s="16">
        <v>2</v>
      </c>
      <c r="D6" s="16">
        <v>50</v>
      </c>
      <c r="E6" s="16" t="s">
        <v>20</v>
      </c>
      <c r="F6" s="16">
        <v>16.5</v>
      </c>
      <c r="G6" s="17" t="s">
        <v>21</v>
      </c>
      <c r="H6" s="16">
        <f t="shared" si="0"/>
        <v>1650</v>
      </c>
      <c r="I6" s="18"/>
      <c r="J6" s="18"/>
      <c r="K6" s="18"/>
      <c r="L6" s="18"/>
      <c r="M6" s="16">
        <v>16</v>
      </c>
      <c r="N6" s="19">
        <f t="shared" si="1"/>
        <v>32</v>
      </c>
      <c r="O6">
        <v>0.09</v>
      </c>
      <c r="R6">
        <f t="shared" ref="R6:R21" si="2">O6*C6</f>
        <v>0.18</v>
      </c>
    </row>
    <row r="7" spans="1:23" x14ac:dyDescent="0.4">
      <c r="A7" s="14"/>
      <c r="B7" s="15" t="s">
        <v>23</v>
      </c>
      <c r="C7" s="16">
        <v>2</v>
      </c>
      <c r="D7" s="16">
        <v>50</v>
      </c>
      <c r="E7" s="16" t="s">
        <v>20</v>
      </c>
      <c r="F7" s="16">
        <v>17</v>
      </c>
      <c r="G7" s="17" t="s">
        <v>21</v>
      </c>
      <c r="H7" s="16">
        <f t="shared" si="0"/>
        <v>1700</v>
      </c>
      <c r="I7" s="18"/>
      <c r="J7" s="18"/>
      <c r="K7" s="18"/>
      <c r="L7" s="18"/>
      <c r="M7" s="16">
        <v>16</v>
      </c>
      <c r="N7" s="19">
        <f t="shared" si="1"/>
        <v>32</v>
      </c>
      <c r="O7">
        <v>0.09</v>
      </c>
      <c r="R7">
        <f t="shared" si="2"/>
        <v>0.18</v>
      </c>
    </row>
    <row r="8" spans="1:23" x14ac:dyDescent="0.4">
      <c r="A8" s="14"/>
      <c r="B8" s="15" t="s">
        <v>24</v>
      </c>
      <c r="C8" s="16">
        <v>2</v>
      </c>
      <c r="D8" s="16">
        <v>50</v>
      </c>
      <c r="E8" s="16" t="s">
        <v>20</v>
      </c>
      <c r="F8" s="16">
        <v>20.5</v>
      </c>
      <c r="G8" s="17" t="s">
        <v>21</v>
      </c>
      <c r="H8" s="16">
        <f t="shared" si="0"/>
        <v>2050</v>
      </c>
      <c r="I8" s="18"/>
      <c r="J8" s="18"/>
      <c r="K8" s="18"/>
      <c r="L8" s="18"/>
      <c r="M8" s="16">
        <v>16</v>
      </c>
      <c r="N8" s="19">
        <f t="shared" si="1"/>
        <v>32</v>
      </c>
      <c r="O8">
        <v>0.09</v>
      </c>
      <c r="R8">
        <f t="shared" si="2"/>
        <v>0.18</v>
      </c>
    </row>
    <row r="9" spans="1:23" x14ac:dyDescent="0.4">
      <c r="A9" s="14"/>
      <c r="B9" s="15" t="s">
        <v>25</v>
      </c>
      <c r="C9" s="16">
        <v>2</v>
      </c>
      <c r="D9" s="16">
        <v>50</v>
      </c>
      <c r="E9" s="16" t="s">
        <v>20</v>
      </c>
      <c r="F9" s="16">
        <v>21</v>
      </c>
      <c r="G9" s="17" t="s">
        <v>21</v>
      </c>
      <c r="H9" s="16">
        <f t="shared" si="0"/>
        <v>2100</v>
      </c>
      <c r="I9" s="18"/>
      <c r="J9" s="18"/>
      <c r="K9" s="18"/>
      <c r="L9" s="18"/>
      <c r="M9" s="16">
        <v>20</v>
      </c>
      <c r="N9" s="19">
        <f t="shared" si="1"/>
        <v>40</v>
      </c>
      <c r="O9">
        <v>0.09</v>
      </c>
      <c r="R9">
        <f t="shared" si="2"/>
        <v>0.18</v>
      </c>
    </row>
    <row r="10" spans="1:23" x14ac:dyDescent="0.4">
      <c r="A10" s="14"/>
      <c r="B10" s="15" t="s">
        <v>26</v>
      </c>
      <c r="C10" s="16">
        <v>2</v>
      </c>
      <c r="D10" s="16">
        <v>80</v>
      </c>
      <c r="E10" s="16" t="s">
        <v>20</v>
      </c>
      <c r="F10" s="16">
        <v>7</v>
      </c>
      <c r="G10" s="17" t="s">
        <v>21</v>
      </c>
      <c r="H10" s="16">
        <f t="shared" si="0"/>
        <v>1120</v>
      </c>
      <c r="I10" s="18"/>
      <c r="J10" s="18"/>
      <c r="K10" s="18"/>
      <c r="L10" s="18"/>
      <c r="M10" s="16">
        <v>14</v>
      </c>
      <c r="N10" s="19">
        <f t="shared" si="1"/>
        <v>28</v>
      </c>
      <c r="O10">
        <v>0.14000000000000001</v>
      </c>
      <c r="R10">
        <f t="shared" si="2"/>
        <v>0.28000000000000003</v>
      </c>
    </row>
    <row r="11" spans="1:23" x14ac:dyDescent="0.4">
      <c r="A11" s="14"/>
      <c r="B11" s="15" t="s">
        <v>27</v>
      </c>
      <c r="C11" s="16">
        <v>2</v>
      </c>
      <c r="D11" s="16">
        <v>80</v>
      </c>
      <c r="E11" s="16" t="s">
        <v>20</v>
      </c>
      <c r="F11" s="16">
        <v>8.5</v>
      </c>
      <c r="G11" s="17" t="s">
        <v>21</v>
      </c>
      <c r="H11" s="16">
        <f t="shared" si="0"/>
        <v>1360</v>
      </c>
      <c r="I11" s="18"/>
      <c r="J11" s="18"/>
      <c r="K11" s="18"/>
      <c r="L11" s="18"/>
      <c r="M11" s="16">
        <v>14</v>
      </c>
      <c r="N11" s="19">
        <f t="shared" si="1"/>
        <v>28</v>
      </c>
      <c r="O11">
        <v>0.14000000000000001</v>
      </c>
      <c r="R11">
        <f t="shared" si="2"/>
        <v>0.28000000000000003</v>
      </c>
    </row>
    <row r="12" spans="1:23" x14ac:dyDescent="0.4">
      <c r="A12" s="14"/>
      <c r="B12" s="20" t="s">
        <v>28</v>
      </c>
      <c r="C12" s="16">
        <v>2</v>
      </c>
      <c r="D12" s="16">
        <v>80</v>
      </c>
      <c r="E12" s="16" t="s">
        <v>20</v>
      </c>
      <c r="F12" s="16">
        <v>7.5</v>
      </c>
      <c r="G12" s="17" t="s">
        <v>21</v>
      </c>
      <c r="H12" s="16">
        <f t="shared" si="0"/>
        <v>1200</v>
      </c>
      <c r="I12" s="18"/>
      <c r="J12" s="18"/>
      <c r="K12" s="18"/>
      <c r="L12" s="18"/>
      <c r="M12" s="16">
        <v>14</v>
      </c>
      <c r="N12" s="19">
        <f t="shared" si="1"/>
        <v>28</v>
      </c>
      <c r="O12">
        <v>0.14000000000000001</v>
      </c>
      <c r="R12">
        <f t="shared" si="2"/>
        <v>0.28000000000000003</v>
      </c>
      <c r="W12" t="s">
        <v>29</v>
      </c>
    </row>
    <row r="13" spans="1:23" x14ac:dyDescent="0.4">
      <c r="A13" s="14"/>
      <c r="B13" s="15" t="s">
        <v>30</v>
      </c>
      <c r="C13" s="16">
        <v>2</v>
      </c>
      <c r="D13" s="16">
        <v>40</v>
      </c>
      <c r="E13" s="16" t="s">
        <v>20</v>
      </c>
      <c r="F13" s="16">
        <v>23</v>
      </c>
      <c r="G13" s="17" t="s">
        <v>21</v>
      </c>
      <c r="H13" s="16">
        <f t="shared" si="0"/>
        <v>1840</v>
      </c>
      <c r="I13" s="18"/>
      <c r="J13" s="18"/>
      <c r="K13" s="18"/>
      <c r="L13" s="18"/>
      <c r="M13" s="16">
        <v>20</v>
      </c>
      <c r="N13" s="19">
        <f t="shared" si="1"/>
        <v>40</v>
      </c>
      <c r="O13">
        <v>0.1</v>
      </c>
      <c r="R13">
        <f t="shared" si="2"/>
        <v>0.2</v>
      </c>
    </row>
    <row r="14" spans="1:23" x14ac:dyDescent="0.4">
      <c r="A14" s="14"/>
      <c r="B14" s="15" t="s">
        <v>31</v>
      </c>
      <c r="C14" s="16">
        <v>1</v>
      </c>
      <c r="D14" s="16">
        <v>30</v>
      </c>
      <c r="E14" s="16" t="s">
        <v>20</v>
      </c>
      <c r="F14" s="16">
        <v>25.5</v>
      </c>
      <c r="G14" s="17" t="s">
        <v>21</v>
      </c>
      <c r="H14" s="16">
        <f t="shared" si="0"/>
        <v>765</v>
      </c>
      <c r="I14" s="18"/>
      <c r="J14" s="18"/>
      <c r="K14" s="18"/>
      <c r="L14" s="18"/>
      <c r="M14" s="16">
        <v>20</v>
      </c>
      <c r="N14" s="19">
        <f t="shared" si="1"/>
        <v>20</v>
      </c>
      <c r="O14">
        <v>0.09</v>
      </c>
      <c r="R14">
        <f t="shared" si="2"/>
        <v>0.09</v>
      </c>
    </row>
    <row r="15" spans="1:23" x14ac:dyDescent="0.4">
      <c r="A15" s="14"/>
      <c r="B15" s="15" t="s">
        <v>32</v>
      </c>
      <c r="C15" s="16">
        <v>1</v>
      </c>
      <c r="D15" s="16">
        <v>30</v>
      </c>
      <c r="E15" s="16" t="s">
        <v>20</v>
      </c>
      <c r="F15" s="16">
        <v>23.5</v>
      </c>
      <c r="G15" s="17" t="s">
        <v>21</v>
      </c>
      <c r="H15" s="16">
        <f t="shared" si="0"/>
        <v>705</v>
      </c>
      <c r="I15" s="18"/>
      <c r="J15" s="18"/>
      <c r="K15" s="18"/>
      <c r="L15" s="18"/>
      <c r="M15" s="16">
        <v>18</v>
      </c>
      <c r="N15" s="19">
        <f t="shared" si="1"/>
        <v>18</v>
      </c>
      <c r="O15">
        <v>0.08</v>
      </c>
      <c r="R15">
        <f t="shared" si="2"/>
        <v>0.08</v>
      </c>
    </row>
    <row r="16" spans="1:23" x14ac:dyDescent="0.4">
      <c r="A16" s="14"/>
      <c r="B16" s="15" t="s">
        <v>33</v>
      </c>
      <c r="C16" s="16">
        <v>1</v>
      </c>
      <c r="D16" s="16">
        <v>15</v>
      </c>
      <c r="E16" s="16" t="s">
        <v>20</v>
      </c>
      <c r="F16" s="16">
        <v>67</v>
      </c>
      <c r="G16" s="17" t="s">
        <v>21</v>
      </c>
      <c r="H16" s="16">
        <f t="shared" si="0"/>
        <v>1005</v>
      </c>
      <c r="I16" s="18"/>
      <c r="J16" s="18"/>
      <c r="K16" s="18"/>
      <c r="L16" s="18"/>
      <c r="M16" s="16">
        <v>16</v>
      </c>
      <c r="N16" s="19">
        <f t="shared" si="1"/>
        <v>16</v>
      </c>
      <c r="O16">
        <v>0.1</v>
      </c>
      <c r="R16">
        <f t="shared" si="2"/>
        <v>0.1</v>
      </c>
    </row>
    <row r="17" spans="1:18" x14ac:dyDescent="0.4">
      <c r="A17" s="14"/>
      <c r="B17" s="15" t="s">
        <v>34</v>
      </c>
      <c r="C17" s="16">
        <v>1</v>
      </c>
      <c r="D17" s="16">
        <v>1000</v>
      </c>
      <c r="E17" s="16" t="s">
        <v>20</v>
      </c>
      <c r="F17" s="16">
        <v>1.25</v>
      </c>
      <c r="G17" s="17" t="s">
        <v>21</v>
      </c>
      <c r="H17" s="16">
        <f t="shared" si="0"/>
        <v>1250</v>
      </c>
      <c r="I17" s="18"/>
      <c r="J17" s="18"/>
      <c r="K17" s="18"/>
      <c r="L17" s="18"/>
      <c r="M17" s="16">
        <v>20</v>
      </c>
      <c r="N17" s="19">
        <f t="shared" si="1"/>
        <v>20</v>
      </c>
      <c r="O17">
        <v>0.1</v>
      </c>
      <c r="R17">
        <f t="shared" si="2"/>
        <v>0.1</v>
      </c>
    </row>
    <row r="18" spans="1:18" x14ac:dyDescent="0.4">
      <c r="A18" s="14"/>
      <c r="B18" s="15" t="s">
        <v>35</v>
      </c>
      <c r="C18" s="16">
        <v>1</v>
      </c>
      <c r="D18" s="16">
        <v>20</v>
      </c>
      <c r="E18" s="16" t="s">
        <v>20</v>
      </c>
      <c r="F18" s="16">
        <v>36</v>
      </c>
      <c r="G18" s="17" t="s">
        <v>21</v>
      </c>
      <c r="H18" s="16">
        <f t="shared" si="0"/>
        <v>720</v>
      </c>
      <c r="I18" s="18"/>
      <c r="J18" s="18"/>
      <c r="K18" s="18"/>
      <c r="L18" s="18"/>
      <c r="M18" s="16">
        <v>16</v>
      </c>
      <c r="N18" s="19">
        <f t="shared" si="1"/>
        <v>16</v>
      </c>
      <c r="O18">
        <v>0.1</v>
      </c>
      <c r="R18">
        <f t="shared" si="2"/>
        <v>0.1</v>
      </c>
    </row>
    <row r="19" spans="1:18" x14ac:dyDescent="0.4">
      <c r="A19" s="14"/>
      <c r="B19" s="15" t="s">
        <v>36</v>
      </c>
      <c r="C19" s="16">
        <v>1</v>
      </c>
      <c r="D19" s="16">
        <v>30</v>
      </c>
      <c r="E19" s="16" t="s">
        <v>20</v>
      </c>
      <c r="F19" s="16">
        <v>22</v>
      </c>
      <c r="G19" s="17" t="s">
        <v>21</v>
      </c>
      <c r="H19" s="16">
        <f t="shared" si="0"/>
        <v>660</v>
      </c>
      <c r="I19" s="18"/>
      <c r="J19" s="18"/>
      <c r="K19" s="18"/>
      <c r="L19" s="18"/>
      <c r="M19" s="16">
        <v>14</v>
      </c>
      <c r="N19" s="19">
        <f t="shared" si="1"/>
        <v>14</v>
      </c>
      <c r="O19">
        <v>0.06</v>
      </c>
      <c r="R19">
        <f t="shared" si="2"/>
        <v>0.06</v>
      </c>
    </row>
    <row r="20" spans="1:18" x14ac:dyDescent="0.4">
      <c r="A20" s="14"/>
      <c r="B20" s="15" t="s">
        <v>37</v>
      </c>
      <c r="C20" s="16">
        <v>1</v>
      </c>
      <c r="D20" s="16">
        <v>30</v>
      </c>
      <c r="E20" s="16" t="s">
        <v>20</v>
      </c>
      <c r="F20" s="16">
        <v>23</v>
      </c>
      <c r="G20" s="17" t="s">
        <v>21</v>
      </c>
      <c r="H20" s="16">
        <f t="shared" si="0"/>
        <v>690</v>
      </c>
      <c r="I20" s="18"/>
      <c r="J20" s="18"/>
      <c r="K20" s="18"/>
      <c r="L20" s="18"/>
      <c r="M20" s="16">
        <v>17</v>
      </c>
      <c r="N20" s="19">
        <f t="shared" si="1"/>
        <v>17</v>
      </c>
      <c r="O20">
        <v>7.0000000000000007E-2</v>
      </c>
      <c r="R20">
        <f t="shared" si="2"/>
        <v>7.0000000000000007E-2</v>
      </c>
    </row>
    <row r="21" spans="1:18" x14ac:dyDescent="0.4">
      <c r="A21" s="14"/>
      <c r="B21" s="15" t="s">
        <v>38</v>
      </c>
      <c r="C21" s="16">
        <v>1</v>
      </c>
      <c r="D21" s="16">
        <v>30</v>
      </c>
      <c r="E21" s="16" t="s">
        <v>20</v>
      </c>
      <c r="F21" s="16">
        <v>25</v>
      </c>
      <c r="G21" s="17" t="s">
        <v>21</v>
      </c>
      <c r="H21" s="16">
        <f t="shared" si="0"/>
        <v>750</v>
      </c>
      <c r="I21" s="18"/>
      <c r="J21" s="18"/>
      <c r="K21" s="18"/>
      <c r="L21" s="18"/>
      <c r="M21" s="16">
        <v>20</v>
      </c>
      <c r="N21" s="19">
        <f t="shared" si="1"/>
        <v>20</v>
      </c>
      <c r="O21">
        <v>0.09</v>
      </c>
      <c r="R21">
        <f t="shared" si="2"/>
        <v>0.09</v>
      </c>
    </row>
    <row r="22" spans="1:18" x14ac:dyDescent="0.4">
      <c r="A22" s="14">
        <v>34145</v>
      </c>
      <c r="B22" s="15" t="s">
        <v>39</v>
      </c>
      <c r="C22" s="16">
        <v>2</v>
      </c>
      <c r="D22" s="16">
        <v>50</v>
      </c>
      <c r="E22" s="21" t="s">
        <v>40</v>
      </c>
      <c r="F22" s="16">
        <v>30</v>
      </c>
      <c r="G22" s="22" t="s">
        <v>41</v>
      </c>
      <c r="H22" s="16">
        <f t="shared" si="0"/>
        <v>3000</v>
      </c>
      <c r="I22" s="18">
        <f>SUM(H22:H29)</f>
        <v>7598</v>
      </c>
      <c r="J22" s="18">
        <v>0</v>
      </c>
      <c r="K22" s="18">
        <f>I22-J22</f>
        <v>7598</v>
      </c>
      <c r="L22" s="18">
        <f>SUM(R22:R29)</f>
        <v>1.578546</v>
      </c>
      <c r="M22" s="16">
        <v>34.200000000000003</v>
      </c>
      <c r="N22" s="19">
        <f t="shared" si="1"/>
        <v>68.400000000000006</v>
      </c>
      <c r="O22">
        <v>57</v>
      </c>
      <c r="P22">
        <v>41</v>
      </c>
      <c r="Q22">
        <v>55</v>
      </c>
      <c r="R22">
        <f t="shared" ref="R22:R29" si="3">O22*P22*Q22*C22/1000000</f>
        <v>0.25707000000000002</v>
      </c>
    </row>
    <row r="23" spans="1:18" x14ac:dyDescent="0.4">
      <c r="A23" s="14"/>
      <c r="B23" s="15" t="s">
        <v>42</v>
      </c>
      <c r="C23" s="16">
        <v>1</v>
      </c>
      <c r="D23" s="16">
        <v>40</v>
      </c>
      <c r="E23" s="21" t="s">
        <v>40</v>
      </c>
      <c r="F23" s="16">
        <v>11.4</v>
      </c>
      <c r="G23" s="22" t="s">
        <v>41</v>
      </c>
      <c r="H23" s="16">
        <f t="shared" si="0"/>
        <v>456</v>
      </c>
      <c r="I23" s="18"/>
      <c r="J23" s="18"/>
      <c r="K23" s="18"/>
      <c r="L23" s="18"/>
      <c r="M23" s="16">
        <v>9.1999999999999993</v>
      </c>
      <c r="N23" s="19">
        <f t="shared" si="1"/>
        <v>9.1999999999999993</v>
      </c>
      <c r="O23">
        <v>69</v>
      </c>
      <c r="P23">
        <v>44</v>
      </c>
      <c r="Q23">
        <v>40</v>
      </c>
      <c r="R23">
        <f t="shared" si="3"/>
        <v>0.12144000000000001</v>
      </c>
    </row>
    <row r="24" spans="1:18" x14ac:dyDescent="0.4">
      <c r="A24" s="14"/>
      <c r="B24" s="15" t="s">
        <v>43</v>
      </c>
      <c r="C24" s="16">
        <v>1</v>
      </c>
      <c r="D24" s="16">
        <v>60</v>
      </c>
      <c r="E24" s="21" t="s">
        <v>40</v>
      </c>
      <c r="F24" s="16">
        <v>10.8</v>
      </c>
      <c r="G24" s="22" t="s">
        <v>41</v>
      </c>
      <c r="H24" s="16">
        <f t="shared" si="0"/>
        <v>648</v>
      </c>
      <c r="I24" s="18"/>
      <c r="J24" s="18"/>
      <c r="K24" s="18"/>
      <c r="L24" s="18"/>
      <c r="M24" s="16">
        <v>12</v>
      </c>
      <c r="N24" s="19">
        <f t="shared" si="1"/>
        <v>12</v>
      </c>
      <c r="O24">
        <v>72</v>
      </c>
      <c r="P24">
        <v>40</v>
      </c>
      <c r="Q24">
        <v>50</v>
      </c>
      <c r="R24">
        <f t="shared" si="3"/>
        <v>0.14399999999999999</v>
      </c>
    </row>
    <row r="25" spans="1:18" x14ac:dyDescent="0.4">
      <c r="A25" s="14"/>
      <c r="B25" s="15" t="s">
        <v>44</v>
      </c>
      <c r="C25" s="16">
        <v>1</v>
      </c>
      <c r="D25" s="16">
        <v>300</v>
      </c>
      <c r="E25" s="16" t="s">
        <v>20</v>
      </c>
      <c r="F25" s="16">
        <v>1.3</v>
      </c>
      <c r="G25" s="17" t="s">
        <v>21</v>
      </c>
      <c r="H25" s="16">
        <f t="shared" si="0"/>
        <v>390</v>
      </c>
      <c r="I25" s="18"/>
      <c r="J25" s="18"/>
      <c r="K25" s="18"/>
      <c r="L25" s="18"/>
      <c r="M25" s="16">
        <v>8</v>
      </c>
      <c r="N25" s="19">
        <f t="shared" si="1"/>
        <v>8</v>
      </c>
      <c r="O25">
        <v>64</v>
      </c>
      <c r="P25">
        <v>45</v>
      </c>
      <c r="Q25">
        <v>40</v>
      </c>
      <c r="R25">
        <f t="shared" si="3"/>
        <v>0.1152</v>
      </c>
    </row>
    <row r="26" spans="1:18" x14ac:dyDescent="0.4">
      <c r="A26" s="14"/>
      <c r="B26" s="15" t="s">
        <v>45</v>
      </c>
      <c r="C26" s="16">
        <v>2</v>
      </c>
      <c r="D26" s="16">
        <v>40</v>
      </c>
      <c r="E26" s="21" t="s">
        <v>40</v>
      </c>
      <c r="F26" s="16">
        <v>7</v>
      </c>
      <c r="G26" s="22" t="s">
        <v>41</v>
      </c>
      <c r="H26" s="16">
        <f t="shared" si="0"/>
        <v>560</v>
      </c>
      <c r="I26" s="18"/>
      <c r="J26" s="18"/>
      <c r="K26" s="18"/>
      <c r="L26" s="18"/>
      <c r="M26" s="16">
        <v>9</v>
      </c>
      <c r="N26" s="19">
        <f t="shared" si="1"/>
        <v>18</v>
      </c>
      <c r="O26">
        <v>63</v>
      </c>
      <c r="P26">
        <v>42</v>
      </c>
      <c r="Q26">
        <v>39</v>
      </c>
      <c r="R26">
        <f t="shared" si="3"/>
        <v>0.20638799999999999</v>
      </c>
    </row>
    <row r="27" spans="1:18" x14ac:dyDescent="0.4">
      <c r="A27" s="14"/>
      <c r="B27" s="15" t="s">
        <v>46</v>
      </c>
      <c r="C27" s="16">
        <v>2</v>
      </c>
      <c r="D27" s="16">
        <v>80</v>
      </c>
      <c r="E27" s="21" t="s">
        <v>40</v>
      </c>
      <c r="F27" s="16">
        <v>5.4</v>
      </c>
      <c r="G27" s="22" t="s">
        <v>41</v>
      </c>
      <c r="H27" s="16">
        <f t="shared" si="0"/>
        <v>864</v>
      </c>
      <c r="I27" s="18"/>
      <c r="J27" s="18"/>
      <c r="K27" s="18"/>
      <c r="L27" s="18"/>
      <c r="M27" s="16">
        <v>9.3000000000000007</v>
      </c>
      <c r="N27" s="19">
        <f t="shared" si="1"/>
        <v>18.600000000000001</v>
      </c>
      <c r="O27">
        <v>59</v>
      </c>
      <c r="P27">
        <v>37</v>
      </c>
      <c r="Q27">
        <v>39</v>
      </c>
      <c r="R27">
        <f t="shared" si="3"/>
        <v>0.17027400000000001</v>
      </c>
    </row>
    <row r="28" spans="1:18" x14ac:dyDescent="0.4">
      <c r="A28" s="14"/>
      <c r="B28" s="15" t="s">
        <v>43</v>
      </c>
      <c r="C28" s="16">
        <v>3</v>
      </c>
      <c r="D28" s="16">
        <v>40</v>
      </c>
      <c r="E28" s="21" t="s">
        <v>40</v>
      </c>
      <c r="F28" s="16">
        <v>7</v>
      </c>
      <c r="G28" s="22" t="s">
        <v>41</v>
      </c>
      <c r="H28" s="16">
        <f t="shared" si="0"/>
        <v>840</v>
      </c>
      <c r="I28" s="18"/>
      <c r="J28" s="18"/>
      <c r="K28" s="18"/>
      <c r="L28" s="18"/>
      <c r="M28" s="16">
        <v>8.6999999999999993</v>
      </c>
      <c r="N28" s="19">
        <f t="shared" si="1"/>
        <v>26.099999999999998</v>
      </c>
      <c r="O28">
        <v>63</v>
      </c>
      <c r="P28">
        <v>42</v>
      </c>
      <c r="Q28">
        <v>39</v>
      </c>
      <c r="R28">
        <f t="shared" si="3"/>
        <v>0.30958200000000002</v>
      </c>
    </row>
    <row r="29" spans="1:18" ht="14.25" thickBot="1" x14ac:dyDescent="0.45">
      <c r="A29" s="23"/>
      <c r="B29" s="24" t="s">
        <v>47</v>
      </c>
      <c r="C29" s="25">
        <v>2</v>
      </c>
      <c r="D29" s="25">
        <v>60</v>
      </c>
      <c r="E29" s="26" t="s">
        <v>40</v>
      </c>
      <c r="F29" s="25">
        <v>7</v>
      </c>
      <c r="G29" s="27" t="s">
        <v>41</v>
      </c>
      <c r="H29" s="25">
        <f t="shared" si="0"/>
        <v>840</v>
      </c>
      <c r="I29" s="28"/>
      <c r="J29" s="28"/>
      <c r="K29" s="28"/>
      <c r="L29" s="28"/>
      <c r="M29" s="25">
        <v>12</v>
      </c>
      <c r="N29" s="29">
        <f t="shared" si="1"/>
        <v>24</v>
      </c>
      <c r="O29">
        <v>68</v>
      </c>
      <c r="P29">
        <v>39</v>
      </c>
      <c r="Q29">
        <v>48</v>
      </c>
      <c r="R29">
        <f t="shared" si="3"/>
        <v>0.25459199999999998</v>
      </c>
    </row>
    <row r="30" spans="1:18" ht="15.75" customHeight="1" thickTop="1" x14ac:dyDescent="0.4">
      <c r="A30" s="4" t="s">
        <v>1</v>
      </c>
      <c r="B30" s="5" t="s">
        <v>2</v>
      </c>
      <c r="C30" s="6" t="s">
        <v>3</v>
      </c>
      <c r="D30" s="6"/>
      <c r="E30" s="6"/>
      <c r="F30" s="7">
        <v>45762</v>
      </c>
      <c r="G30" s="6"/>
      <c r="H30" s="6"/>
      <c r="I30" s="6" t="s">
        <v>4</v>
      </c>
      <c r="J30" s="6"/>
      <c r="K30" s="6"/>
      <c r="L30" s="6" t="s">
        <v>5</v>
      </c>
      <c r="M30" s="6"/>
      <c r="N30" s="8"/>
    </row>
    <row r="31" spans="1:18" ht="15.75" customHeight="1" x14ac:dyDescent="0.4">
      <c r="A31" s="9" t="s">
        <v>6</v>
      </c>
      <c r="B31" s="10" t="s">
        <v>7</v>
      </c>
      <c r="C31" s="10" t="s">
        <v>8</v>
      </c>
      <c r="D31" s="11" t="s">
        <v>9</v>
      </c>
      <c r="E31" s="11"/>
      <c r="F31" s="11" t="s">
        <v>10</v>
      </c>
      <c r="G31" s="11"/>
      <c r="H31" s="10" t="s">
        <v>11</v>
      </c>
      <c r="I31" s="10" t="s">
        <v>12</v>
      </c>
      <c r="J31" s="10" t="s">
        <v>13</v>
      </c>
      <c r="K31" s="10" t="s">
        <v>14</v>
      </c>
      <c r="L31" s="10" t="s">
        <v>15</v>
      </c>
      <c r="M31" s="12" t="s">
        <v>16</v>
      </c>
      <c r="N31" s="13" t="s">
        <v>17</v>
      </c>
    </row>
    <row r="32" spans="1:18" x14ac:dyDescent="0.4">
      <c r="A32" s="14" t="s">
        <v>48</v>
      </c>
      <c r="B32" s="15" t="s">
        <v>49</v>
      </c>
      <c r="C32" s="16">
        <v>2</v>
      </c>
      <c r="D32" s="16">
        <v>24</v>
      </c>
      <c r="E32" s="16" t="s">
        <v>20</v>
      </c>
      <c r="F32" s="16">
        <v>29</v>
      </c>
      <c r="G32" s="17" t="s">
        <v>21</v>
      </c>
      <c r="H32" s="16">
        <f t="shared" ref="H32:H57" si="4">F32*D32*C32</f>
        <v>1392</v>
      </c>
      <c r="I32" s="18">
        <f>SUM(H32:H38)</f>
        <v>10548</v>
      </c>
      <c r="J32" s="18">
        <v>0</v>
      </c>
      <c r="K32" s="18">
        <f>I32-J32</f>
        <v>10548</v>
      </c>
      <c r="L32" s="18">
        <f>SUM(R32:R38)</f>
        <v>1.2966866139999997</v>
      </c>
      <c r="M32" s="16">
        <v>15.82</v>
      </c>
      <c r="N32" s="19">
        <f t="shared" ref="N32:N57" si="5">M32*C32</f>
        <v>31.64</v>
      </c>
      <c r="O32">
        <v>59.4</v>
      </c>
      <c r="P32">
        <v>40</v>
      </c>
      <c r="Q32">
        <v>32.5</v>
      </c>
      <c r="R32">
        <f t="shared" ref="R32:R49" si="6">O32*P32*Q32*C32/1000000</f>
        <v>0.15443999999999999</v>
      </c>
    </row>
    <row r="33" spans="1:18" x14ac:dyDescent="0.4">
      <c r="A33" s="14"/>
      <c r="B33" s="15" t="s">
        <v>50</v>
      </c>
      <c r="C33" s="16">
        <v>2</v>
      </c>
      <c r="D33" s="16">
        <v>36</v>
      </c>
      <c r="E33" s="16" t="s">
        <v>20</v>
      </c>
      <c r="F33" s="16">
        <v>23</v>
      </c>
      <c r="G33" s="17" t="s">
        <v>21</v>
      </c>
      <c r="H33" s="16">
        <f t="shared" si="4"/>
        <v>1656</v>
      </c>
      <c r="I33" s="18"/>
      <c r="J33" s="18"/>
      <c r="K33" s="18"/>
      <c r="L33" s="18"/>
      <c r="M33" s="16">
        <v>18.920000000000002</v>
      </c>
      <c r="N33" s="19">
        <f t="shared" si="5"/>
        <v>37.840000000000003</v>
      </c>
      <c r="O33">
        <v>54</v>
      </c>
      <c r="P33">
        <v>43.4</v>
      </c>
      <c r="Q33">
        <v>38.6</v>
      </c>
      <c r="R33">
        <f t="shared" si="6"/>
        <v>0.18092592000000002</v>
      </c>
    </row>
    <row r="34" spans="1:18" x14ac:dyDescent="0.4">
      <c r="A34" s="14"/>
      <c r="B34" s="15" t="s">
        <v>51</v>
      </c>
      <c r="C34" s="16">
        <v>2</v>
      </c>
      <c r="D34" s="16">
        <v>24</v>
      </c>
      <c r="E34" s="16" t="s">
        <v>20</v>
      </c>
      <c r="F34" s="16">
        <v>36.5</v>
      </c>
      <c r="G34" s="17" t="s">
        <v>21</v>
      </c>
      <c r="H34" s="16">
        <f t="shared" si="4"/>
        <v>1752</v>
      </c>
      <c r="I34" s="18"/>
      <c r="J34" s="18"/>
      <c r="K34" s="18"/>
      <c r="L34" s="18"/>
      <c r="M34" s="16">
        <v>13.56</v>
      </c>
      <c r="N34" s="19">
        <f t="shared" si="5"/>
        <v>27.12</v>
      </c>
      <c r="O34">
        <v>58</v>
      </c>
      <c r="P34">
        <v>33</v>
      </c>
      <c r="Q34">
        <v>38</v>
      </c>
      <c r="R34">
        <f t="shared" si="6"/>
        <v>0.14546400000000001</v>
      </c>
    </row>
    <row r="35" spans="1:18" x14ac:dyDescent="0.4">
      <c r="A35" s="14"/>
      <c r="B35" s="15" t="s">
        <v>52</v>
      </c>
      <c r="C35" s="16">
        <v>2</v>
      </c>
      <c r="D35" s="16">
        <v>24</v>
      </c>
      <c r="E35" s="16" t="s">
        <v>20</v>
      </c>
      <c r="F35" s="16">
        <v>32.5</v>
      </c>
      <c r="G35" s="17" t="s">
        <v>21</v>
      </c>
      <c r="H35" s="16">
        <f t="shared" si="4"/>
        <v>1560</v>
      </c>
      <c r="I35" s="18"/>
      <c r="J35" s="18"/>
      <c r="K35" s="18"/>
      <c r="L35" s="18"/>
      <c r="M35" s="16">
        <v>14.72</v>
      </c>
      <c r="N35" s="19">
        <f t="shared" si="5"/>
        <v>29.44</v>
      </c>
      <c r="O35">
        <v>60</v>
      </c>
      <c r="P35">
        <v>20</v>
      </c>
      <c r="Q35">
        <v>54.7</v>
      </c>
      <c r="R35">
        <f t="shared" si="6"/>
        <v>0.13128000000000001</v>
      </c>
    </row>
    <row r="36" spans="1:18" x14ac:dyDescent="0.4">
      <c r="A36" s="14"/>
      <c r="B36" s="15" t="s">
        <v>53</v>
      </c>
      <c r="C36" s="16">
        <v>2</v>
      </c>
      <c r="D36" s="16">
        <v>12</v>
      </c>
      <c r="E36" s="16" t="s">
        <v>20</v>
      </c>
      <c r="F36" s="16">
        <v>39.5</v>
      </c>
      <c r="G36" s="17" t="s">
        <v>21</v>
      </c>
      <c r="H36" s="16">
        <f t="shared" si="4"/>
        <v>948</v>
      </c>
      <c r="I36" s="18"/>
      <c r="J36" s="18"/>
      <c r="K36" s="18"/>
      <c r="L36" s="18"/>
      <c r="M36" s="16">
        <v>10.86</v>
      </c>
      <c r="N36" s="19">
        <f t="shared" si="5"/>
        <v>21.72</v>
      </c>
      <c r="O36">
        <v>58.3</v>
      </c>
      <c r="P36">
        <v>55.8</v>
      </c>
      <c r="Q36">
        <v>24.8</v>
      </c>
      <c r="R36">
        <f t="shared" si="6"/>
        <v>0.161355744</v>
      </c>
    </row>
    <row r="37" spans="1:18" x14ac:dyDescent="0.4">
      <c r="A37" s="14"/>
      <c r="B37" s="15" t="s">
        <v>54</v>
      </c>
      <c r="C37" s="16">
        <v>2</v>
      </c>
      <c r="D37" s="16">
        <v>24</v>
      </c>
      <c r="E37" s="16" t="s">
        <v>20</v>
      </c>
      <c r="F37" s="16">
        <v>35</v>
      </c>
      <c r="G37" s="17" t="s">
        <v>21</v>
      </c>
      <c r="H37" s="16">
        <f t="shared" si="4"/>
        <v>1680</v>
      </c>
      <c r="I37" s="18"/>
      <c r="J37" s="18"/>
      <c r="K37" s="18"/>
      <c r="L37" s="18"/>
      <c r="M37" s="16">
        <v>20.260000000000002</v>
      </c>
      <c r="N37" s="19">
        <f t="shared" si="5"/>
        <v>40.520000000000003</v>
      </c>
      <c r="O37">
        <v>74.5</v>
      </c>
      <c r="P37">
        <v>55.3</v>
      </c>
      <c r="Q37">
        <v>34.5</v>
      </c>
      <c r="R37">
        <f t="shared" si="6"/>
        <v>0.28426964999999998</v>
      </c>
    </row>
    <row r="38" spans="1:18" x14ac:dyDescent="0.4">
      <c r="A38" s="14"/>
      <c r="B38" s="15" t="s">
        <v>55</v>
      </c>
      <c r="C38" s="16">
        <v>2</v>
      </c>
      <c r="D38" s="16">
        <v>24</v>
      </c>
      <c r="E38" s="16" t="s">
        <v>20</v>
      </c>
      <c r="F38" s="16">
        <v>32.5</v>
      </c>
      <c r="G38" s="17" t="s">
        <v>21</v>
      </c>
      <c r="H38" s="16">
        <f t="shared" si="4"/>
        <v>1560</v>
      </c>
      <c r="I38" s="18"/>
      <c r="J38" s="18"/>
      <c r="K38" s="18"/>
      <c r="L38" s="18"/>
      <c r="M38" s="16">
        <v>17.38</v>
      </c>
      <c r="N38" s="19">
        <f t="shared" si="5"/>
        <v>34.76</v>
      </c>
      <c r="O38">
        <v>74.5</v>
      </c>
      <c r="P38">
        <v>55.3</v>
      </c>
      <c r="Q38">
        <v>29</v>
      </c>
      <c r="R38">
        <f t="shared" si="6"/>
        <v>0.23895129999999995</v>
      </c>
    </row>
    <row r="39" spans="1:18" x14ac:dyDescent="0.4">
      <c r="A39" s="14" t="s">
        <v>56</v>
      </c>
      <c r="B39" s="15" t="s">
        <v>57</v>
      </c>
      <c r="C39" s="16">
        <v>1</v>
      </c>
      <c r="D39" s="16">
        <v>48</v>
      </c>
      <c r="E39" s="16" t="s">
        <v>20</v>
      </c>
      <c r="F39" s="16">
        <v>9.5</v>
      </c>
      <c r="G39" s="17" t="s">
        <v>21</v>
      </c>
      <c r="H39" s="16">
        <f t="shared" si="4"/>
        <v>456</v>
      </c>
      <c r="I39" s="18">
        <f>SUM(H39:H44)</f>
        <v>4682</v>
      </c>
      <c r="J39" s="18">
        <v>0</v>
      </c>
      <c r="K39" s="18">
        <f>I39-J39</f>
        <v>4682</v>
      </c>
      <c r="L39" s="18">
        <f>SUM(R39:R44)</f>
        <v>1.3754470000000001</v>
      </c>
      <c r="M39" s="16">
        <v>22.5</v>
      </c>
      <c r="N39" s="19">
        <f t="shared" si="5"/>
        <v>22.5</v>
      </c>
      <c r="O39">
        <v>59</v>
      </c>
      <c r="P39">
        <v>53</v>
      </c>
      <c r="Q39">
        <v>59</v>
      </c>
      <c r="R39">
        <f t="shared" si="6"/>
        <v>0.18449299999999999</v>
      </c>
    </row>
    <row r="40" spans="1:18" x14ac:dyDescent="0.4">
      <c r="A40" s="14"/>
      <c r="B40" s="15" t="s">
        <v>58</v>
      </c>
      <c r="C40" s="16">
        <v>3</v>
      </c>
      <c r="D40" s="16">
        <v>60</v>
      </c>
      <c r="E40" s="16" t="s">
        <v>20</v>
      </c>
      <c r="F40" s="16">
        <v>4.2</v>
      </c>
      <c r="G40" s="17" t="s">
        <v>21</v>
      </c>
      <c r="H40" s="16">
        <f t="shared" si="4"/>
        <v>756</v>
      </c>
      <c r="I40" s="18"/>
      <c r="J40" s="18"/>
      <c r="K40" s="18"/>
      <c r="L40" s="18"/>
      <c r="M40" s="16">
        <v>23.4</v>
      </c>
      <c r="N40" s="19">
        <f t="shared" si="5"/>
        <v>70.199999999999989</v>
      </c>
      <c r="O40">
        <v>48</v>
      </c>
      <c r="P40">
        <v>38</v>
      </c>
      <c r="Q40">
        <v>50</v>
      </c>
      <c r="R40">
        <f t="shared" si="6"/>
        <v>0.27360000000000001</v>
      </c>
    </row>
    <row r="41" spans="1:18" x14ac:dyDescent="0.4">
      <c r="A41" s="14"/>
      <c r="B41" s="15" t="s">
        <v>59</v>
      </c>
      <c r="C41" s="16">
        <v>3</v>
      </c>
      <c r="D41" s="16">
        <v>80</v>
      </c>
      <c r="E41" s="16" t="s">
        <v>20</v>
      </c>
      <c r="F41" s="16">
        <v>5.8</v>
      </c>
      <c r="G41" s="17" t="s">
        <v>21</v>
      </c>
      <c r="H41" s="16">
        <f t="shared" si="4"/>
        <v>1392</v>
      </c>
      <c r="I41" s="18"/>
      <c r="J41" s="18"/>
      <c r="K41" s="18"/>
      <c r="L41" s="18"/>
      <c r="M41" s="16">
        <v>13.3</v>
      </c>
      <c r="N41" s="19">
        <f t="shared" si="5"/>
        <v>39.900000000000006</v>
      </c>
      <c r="O41">
        <v>62</v>
      </c>
      <c r="P41">
        <v>35</v>
      </c>
      <c r="Q41">
        <v>51</v>
      </c>
      <c r="R41">
        <f t="shared" si="6"/>
        <v>0.33201000000000003</v>
      </c>
    </row>
    <row r="42" spans="1:18" x14ac:dyDescent="0.4">
      <c r="A42" s="14"/>
      <c r="B42" s="15" t="s">
        <v>60</v>
      </c>
      <c r="C42" s="16">
        <v>3</v>
      </c>
      <c r="D42" s="16">
        <v>80</v>
      </c>
      <c r="E42" s="16" t="s">
        <v>20</v>
      </c>
      <c r="F42" s="16">
        <v>5.8</v>
      </c>
      <c r="G42" s="17" t="s">
        <v>21</v>
      </c>
      <c r="H42" s="16">
        <f t="shared" si="4"/>
        <v>1392</v>
      </c>
      <c r="I42" s="18"/>
      <c r="J42" s="18"/>
      <c r="K42" s="18"/>
      <c r="L42" s="18"/>
      <c r="M42" s="16">
        <v>12.3</v>
      </c>
      <c r="N42" s="19">
        <f t="shared" si="5"/>
        <v>36.900000000000006</v>
      </c>
      <c r="O42">
        <v>60</v>
      </c>
      <c r="P42">
        <v>35</v>
      </c>
      <c r="Q42">
        <v>49</v>
      </c>
      <c r="R42">
        <f t="shared" si="6"/>
        <v>0.30869999999999997</v>
      </c>
    </row>
    <row r="43" spans="1:18" x14ac:dyDescent="0.4">
      <c r="A43" s="14"/>
      <c r="B43" s="15" t="s">
        <v>61</v>
      </c>
      <c r="C43" s="16">
        <v>1</v>
      </c>
      <c r="D43" s="16">
        <v>140</v>
      </c>
      <c r="E43" s="16" t="s">
        <v>20</v>
      </c>
      <c r="F43" s="16">
        <v>2.5</v>
      </c>
      <c r="G43" s="17" t="s">
        <v>21</v>
      </c>
      <c r="H43" s="16">
        <f t="shared" si="4"/>
        <v>350</v>
      </c>
      <c r="I43" s="18"/>
      <c r="J43" s="18"/>
      <c r="K43" s="18"/>
      <c r="L43" s="18"/>
      <c r="M43" s="16">
        <v>14.5</v>
      </c>
      <c r="N43" s="19">
        <f t="shared" si="5"/>
        <v>14.5</v>
      </c>
      <c r="O43">
        <v>55</v>
      </c>
      <c r="P43">
        <v>40</v>
      </c>
      <c r="Q43">
        <v>62</v>
      </c>
      <c r="R43">
        <f t="shared" si="6"/>
        <v>0.13639999999999999</v>
      </c>
    </row>
    <row r="44" spans="1:18" x14ac:dyDescent="0.4">
      <c r="A44" s="14"/>
      <c r="B44" s="15" t="s">
        <v>62</v>
      </c>
      <c r="C44" s="16">
        <v>1</v>
      </c>
      <c r="D44" s="16">
        <v>160</v>
      </c>
      <c r="E44" s="16" t="s">
        <v>20</v>
      </c>
      <c r="F44" s="16">
        <v>2.1</v>
      </c>
      <c r="G44" s="17" t="s">
        <v>21</v>
      </c>
      <c r="H44" s="16">
        <f t="shared" si="4"/>
        <v>336</v>
      </c>
      <c r="I44" s="18"/>
      <c r="J44" s="18"/>
      <c r="K44" s="18"/>
      <c r="L44" s="18"/>
      <c r="M44" s="16">
        <v>10.199999999999999</v>
      </c>
      <c r="N44" s="19">
        <f t="shared" si="5"/>
        <v>10.199999999999999</v>
      </c>
      <c r="O44">
        <v>62</v>
      </c>
      <c r="P44">
        <v>39</v>
      </c>
      <c r="Q44">
        <v>58</v>
      </c>
      <c r="R44">
        <f t="shared" si="6"/>
        <v>0.14024400000000001</v>
      </c>
    </row>
    <row r="45" spans="1:18" x14ac:dyDescent="0.4">
      <c r="A45" s="14" t="s">
        <v>63</v>
      </c>
      <c r="B45" s="15" t="s">
        <v>64</v>
      </c>
      <c r="C45" s="16">
        <v>5</v>
      </c>
      <c r="D45" s="16">
        <v>60</v>
      </c>
      <c r="E45" s="16" t="s">
        <v>20</v>
      </c>
      <c r="F45" s="16">
        <v>10.8</v>
      </c>
      <c r="G45" s="17" t="s">
        <v>21</v>
      </c>
      <c r="H45" s="16">
        <f t="shared" si="4"/>
        <v>3240</v>
      </c>
      <c r="I45" s="18">
        <f>SUM(H45:H49)</f>
        <v>7956</v>
      </c>
      <c r="J45" s="18">
        <v>0</v>
      </c>
      <c r="K45" s="18">
        <f>I45-J45</f>
        <v>7956</v>
      </c>
      <c r="L45" s="18">
        <f>SUM(R45:R49)</f>
        <v>1.6752511999999999</v>
      </c>
      <c r="M45" s="16">
        <v>11</v>
      </c>
      <c r="N45" s="19">
        <f t="shared" si="5"/>
        <v>55</v>
      </c>
      <c r="O45">
        <v>56</v>
      </c>
      <c r="P45">
        <v>44.5</v>
      </c>
      <c r="Q45">
        <v>57</v>
      </c>
      <c r="R45">
        <f t="shared" si="6"/>
        <v>0.71021999999999996</v>
      </c>
    </row>
    <row r="46" spans="1:18" x14ac:dyDescent="0.4">
      <c r="A46" s="14"/>
      <c r="B46" s="15" t="s">
        <v>65</v>
      </c>
      <c r="C46" s="16">
        <v>2</v>
      </c>
      <c r="D46" s="16">
        <v>60</v>
      </c>
      <c r="E46" s="16" t="s">
        <v>20</v>
      </c>
      <c r="F46" s="16">
        <v>11.8</v>
      </c>
      <c r="G46" s="17" t="s">
        <v>21</v>
      </c>
      <c r="H46" s="16">
        <f t="shared" si="4"/>
        <v>1416</v>
      </c>
      <c r="I46" s="18"/>
      <c r="J46" s="18"/>
      <c r="K46" s="18"/>
      <c r="L46" s="18"/>
      <c r="M46" s="16">
        <v>14.8</v>
      </c>
      <c r="N46" s="19">
        <f t="shared" si="5"/>
        <v>29.6</v>
      </c>
      <c r="O46">
        <v>50</v>
      </c>
      <c r="P46">
        <v>40.5</v>
      </c>
      <c r="Q46">
        <v>61</v>
      </c>
      <c r="R46">
        <f t="shared" si="6"/>
        <v>0.24704999999999999</v>
      </c>
    </row>
    <row r="47" spans="1:18" x14ac:dyDescent="0.4">
      <c r="A47" s="14"/>
      <c r="B47" s="15" t="s">
        <v>66</v>
      </c>
      <c r="C47" s="16">
        <v>2</v>
      </c>
      <c r="D47" s="16">
        <v>60</v>
      </c>
      <c r="E47" s="16" t="s">
        <v>20</v>
      </c>
      <c r="F47" s="16">
        <v>6.9</v>
      </c>
      <c r="G47" s="17" t="s">
        <v>21</v>
      </c>
      <c r="H47" s="16">
        <f t="shared" si="4"/>
        <v>828</v>
      </c>
      <c r="I47" s="18"/>
      <c r="J47" s="18"/>
      <c r="K47" s="18"/>
      <c r="L47" s="18"/>
      <c r="M47" s="16">
        <v>9</v>
      </c>
      <c r="N47" s="19">
        <f t="shared" si="5"/>
        <v>18</v>
      </c>
      <c r="O47">
        <v>45</v>
      </c>
      <c r="P47">
        <v>37</v>
      </c>
      <c r="Q47">
        <v>54</v>
      </c>
      <c r="R47">
        <f t="shared" si="6"/>
        <v>0.17982000000000001</v>
      </c>
    </row>
    <row r="48" spans="1:18" x14ac:dyDescent="0.4">
      <c r="A48" s="14"/>
      <c r="B48" s="15" t="s">
        <v>67</v>
      </c>
      <c r="C48" s="16">
        <v>2</v>
      </c>
      <c r="D48" s="16">
        <v>60</v>
      </c>
      <c r="E48" s="16" t="s">
        <v>20</v>
      </c>
      <c r="F48" s="16">
        <v>8.8000000000000007</v>
      </c>
      <c r="G48" s="17" t="s">
        <v>21</v>
      </c>
      <c r="H48" s="16">
        <f t="shared" si="4"/>
        <v>1056</v>
      </c>
      <c r="I48" s="18"/>
      <c r="J48" s="18"/>
      <c r="K48" s="18"/>
      <c r="L48" s="18"/>
      <c r="M48" s="16">
        <v>10.199999999999999</v>
      </c>
      <c r="N48" s="19">
        <f t="shared" si="5"/>
        <v>20.399999999999999</v>
      </c>
      <c r="O48">
        <v>56.5</v>
      </c>
      <c r="P48">
        <v>42</v>
      </c>
      <c r="Q48">
        <v>53.5</v>
      </c>
      <c r="R48">
        <f t="shared" si="6"/>
        <v>0.253911</v>
      </c>
    </row>
    <row r="49" spans="1:18" x14ac:dyDescent="0.4">
      <c r="A49" s="14"/>
      <c r="B49" s="15" t="s">
        <v>68</v>
      </c>
      <c r="C49" s="16">
        <v>2</v>
      </c>
      <c r="D49" s="16">
        <v>60</v>
      </c>
      <c r="E49" s="16" t="s">
        <v>20</v>
      </c>
      <c r="F49" s="16">
        <v>11.8</v>
      </c>
      <c r="G49" s="17" t="s">
        <v>21</v>
      </c>
      <c r="H49" s="16">
        <f t="shared" si="4"/>
        <v>1416</v>
      </c>
      <c r="I49" s="18"/>
      <c r="J49" s="18"/>
      <c r="K49" s="18"/>
      <c r="L49" s="18"/>
      <c r="M49" s="16">
        <v>13.4</v>
      </c>
      <c r="N49" s="19">
        <f t="shared" si="5"/>
        <v>26.8</v>
      </c>
      <c r="O49">
        <v>54.5</v>
      </c>
      <c r="P49">
        <v>44.2</v>
      </c>
      <c r="Q49">
        <v>59</v>
      </c>
      <c r="R49">
        <f t="shared" si="6"/>
        <v>0.28425020000000001</v>
      </c>
    </row>
    <row r="50" spans="1:18" x14ac:dyDescent="0.4">
      <c r="A50" s="14" t="s">
        <v>69</v>
      </c>
      <c r="B50" s="15" t="s">
        <v>70</v>
      </c>
      <c r="C50" s="16">
        <v>1</v>
      </c>
      <c r="D50" s="16">
        <v>20</v>
      </c>
      <c r="E50" s="16" t="s">
        <v>20</v>
      </c>
      <c r="F50" s="16">
        <v>28.8</v>
      </c>
      <c r="G50" s="17" t="s">
        <v>21</v>
      </c>
      <c r="H50" s="16">
        <f t="shared" si="4"/>
        <v>576</v>
      </c>
      <c r="I50" s="18">
        <f>SUM(H50:H57)</f>
        <v>5806.4</v>
      </c>
      <c r="J50" s="18">
        <v>0</v>
      </c>
      <c r="K50" s="18">
        <f>I50-J50</f>
        <v>5806.4</v>
      </c>
      <c r="L50" s="18">
        <f>SUM(R50:R57)</f>
        <v>0.83931379499999992</v>
      </c>
      <c r="M50" s="16">
        <v>15.76</v>
      </c>
      <c r="N50" s="19">
        <f t="shared" si="5"/>
        <v>15.76</v>
      </c>
      <c r="O50">
        <v>70</v>
      </c>
      <c r="P50">
        <v>56</v>
      </c>
      <c r="Q50">
        <v>30.5</v>
      </c>
      <c r="R50">
        <f t="shared" ref="R50:R57" si="7">C50*O50*P50*Q50/1000000</f>
        <v>0.11956</v>
      </c>
    </row>
    <row r="51" spans="1:18" x14ac:dyDescent="0.4">
      <c r="A51" s="14"/>
      <c r="B51" s="15" t="s">
        <v>71</v>
      </c>
      <c r="C51" s="16">
        <v>1</v>
      </c>
      <c r="D51" s="16">
        <v>50</v>
      </c>
      <c r="E51" s="16" t="s">
        <v>20</v>
      </c>
      <c r="F51" s="16">
        <v>19.8</v>
      </c>
      <c r="G51" s="17" t="s">
        <v>21</v>
      </c>
      <c r="H51" s="16">
        <f t="shared" si="4"/>
        <v>990</v>
      </c>
      <c r="I51" s="18"/>
      <c r="J51" s="18"/>
      <c r="K51" s="18"/>
      <c r="L51" s="18"/>
      <c r="M51" s="16">
        <v>16.25</v>
      </c>
      <c r="N51" s="19">
        <f t="shared" si="5"/>
        <v>16.25</v>
      </c>
      <c r="O51">
        <v>47.5</v>
      </c>
      <c r="P51">
        <v>47.5</v>
      </c>
      <c r="Q51">
        <v>39.5</v>
      </c>
      <c r="R51">
        <f t="shared" si="7"/>
        <v>8.9121875000000003E-2</v>
      </c>
    </row>
    <row r="52" spans="1:18" x14ac:dyDescent="0.4">
      <c r="A52" s="14"/>
      <c r="B52" s="15" t="s">
        <v>72</v>
      </c>
      <c r="C52" s="16">
        <v>1</v>
      </c>
      <c r="D52" s="16">
        <v>24</v>
      </c>
      <c r="E52" s="16" t="s">
        <v>20</v>
      </c>
      <c r="F52" s="16">
        <v>23.9</v>
      </c>
      <c r="G52" s="17" t="s">
        <v>21</v>
      </c>
      <c r="H52" s="16">
        <f t="shared" si="4"/>
        <v>573.59999999999991</v>
      </c>
      <c r="I52" s="18"/>
      <c r="J52" s="18"/>
      <c r="K52" s="18"/>
      <c r="L52" s="18"/>
      <c r="M52" s="16">
        <v>11.6</v>
      </c>
      <c r="N52" s="19">
        <f t="shared" si="5"/>
        <v>11.6</v>
      </c>
      <c r="O52">
        <v>63.8</v>
      </c>
      <c r="P52">
        <v>45</v>
      </c>
      <c r="Q52">
        <v>22.5</v>
      </c>
      <c r="R52">
        <f t="shared" si="7"/>
        <v>6.4597500000000002E-2</v>
      </c>
    </row>
    <row r="53" spans="1:18" x14ac:dyDescent="0.4">
      <c r="A53" s="14"/>
      <c r="B53" s="15" t="s">
        <v>73</v>
      </c>
      <c r="C53" s="16">
        <v>1</v>
      </c>
      <c r="D53" s="16">
        <v>24</v>
      </c>
      <c r="E53" s="16" t="s">
        <v>20</v>
      </c>
      <c r="F53" s="16">
        <v>24.9</v>
      </c>
      <c r="G53" s="17" t="s">
        <v>21</v>
      </c>
      <c r="H53" s="16">
        <f t="shared" si="4"/>
        <v>597.59999999999991</v>
      </c>
      <c r="I53" s="18"/>
      <c r="J53" s="18"/>
      <c r="K53" s="18"/>
      <c r="L53" s="18"/>
      <c r="M53" s="16">
        <v>13.5</v>
      </c>
      <c r="N53" s="19">
        <f t="shared" si="5"/>
        <v>13.5</v>
      </c>
      <c r="O53">
        <v>63.8</v>
      </c>
      <c r="P53">
        <v>45</v>
      </c>
      <c r="Q53">
        <v>27.5</v>
      </c>
      <c r="R53">
        <f t="shared" si="7"/>
        <v>7.8952499999999995E-2</v>
      </c>
    </row>
    <row r="54" spans="1:18" x14ac:dyDescent="0.4">
      <c r="A54" s="14"/>
      <c r="B54" s="15" t="s">
        <v>74</v>
      </c>
      <c r="C54" s="16">
        <v>1</v>
      </c>
      <c r="D54" s="16">
        <v>24</v>
      </c>
      <c r="E54" s="16" t="s">
        <v>20</v>
      </c>
      <c r="F54" s="16">
        <v>25.8</v>
      </c>
      <c r="G54" s="17" t="s">
        <v>21</v>
      </c>
      <c r="H54" s="16">
        <f t="shared" si="4"/>
        <v>619.20000000000005</v>
      </c>
      <c r="I54" s="18"/>
      <c r="J54" s="18"/>
      <c r="K54" s="18"/>
      <c r="L54" s="18"/>
      <c r="M54" s="16">
        <v>14.2</v>
      </c>
      <c r="N54" s="19">
        <f t="shared" si="5"/>
        <v>14.2</v>
      </c>
      <c r="O54">
        <v>63.2</v>
      </c>
      <c r="P54">
        <v>56.8</v>
      </c>
      <c r="Q54">
        <v>26.5</v>
      </c>
      <c r="R54">
        <f t="shared" si="7"/>
        <v>9.512864E-2</v>
      </c>
    </row>
    <row r="55" spans="1:18" x14ac:dyDescent="0.4">
      <c r="A55" s="14"/>
      <c r="B55" s="15" t="s">
        <v>75</v>
      </c>
      <c r="C55" s="16">
        <v>1</v>
      </c>
      <c r="D55" s="16">
        <v>40</v>
      </c>
      <c r="E55" s="16" t="s">
        <v>20</v>
      </c>
      <c r="F55" s="16">
        <v>21.8</v>
      </c>
      <c r="G55" s="17" t="s">
        <v>21</v>
      </c>
      <c r="H55" s="16">
        <f t="shared" si="4"/>
        <v>872</v>
      </c>
      <c r="I55" s="18"/>
      <c r="J55" s="18"/>
      <c r="K55" s="18"/>
      <c r="L55" s="18"/>
      <c r="M55" s="16">
        <v>17.3</v>
      </c>
      <c r="N55" s="19">
        <f t="shared" si="5"/>
        <v>17.3</v>
      </c>
      <c r="O55">
        <v>51</v>
      </c>
      <c r="P55">
        <v>50.4</v>
      </c>
      <c r="Q55">
        <v>40.4</v>
      </c>
      <c r="R55">
        <f t="shared" si="7"/>
        <v>0.10384416</v>
      </c>
    </row>
    <row r="56" spans="1:18" x14ac:dyDescent="0.4">
      <c r="A56" s="14"/>
      <c r="B56" s="15" t="s">
        <v>76</v>
      </c>
      <c r="C56" s="16">
        <v>1</v>
      </c>
      <c r="D56" s="16">
        <v>30</v>
      </c>
      <c r="E56" s="16" t="s">
        <v>20</v>
      </c>
      <c r="F56" s="16">
        <v>27.8</v>
      </c>
      <c r="G56" s="17" t="s">
        <v>21</v>
      </c>
      <c r="H56" s="16">
        <f t="shared" si="4"/>
        <v>834</v>
      </c>
      <c r="I56" s="18"/>
      <c r="J56" s="18"/>
      <c r="K56" s="18"/>
      <c r="L56" s="18"/>
      <c r="M56" s="16">
        <v>22.3</v>
      </c>
      <c r="N56" s="19">
        <f t="shared" si="5"/>
        <v>22.3</v>
      </c>
      <c r="O56">
        <v>74</v>
      </c>
      <c r="P56">
        <v>70.400000000000006</v>
      </c>
      <c r="Q56">
        <v>30.7</v>
      </c>
      <c r="R56">
        <f t="shared" si="7"/>
        <v>0.15993472</v>
      </c>
    </row>
    <row r="57" spans="1:18" ht="14.25" thickBot="1" x14ac:dyDescent="0.45">
      <c r="A57" s="23"/>
      <c r="B57" s="24" t="s">
        <v>77</v>
      </c>
      <c r="C57" s="25">
        <v>1</v>
      </c>
      <c r="D57" s="25">
        <v>30</v>
      </c>
      <c r="E57" s="25" t="s">
        <v>20</v>
      </c>
      <c r="F57" s="25">
        <v>24.8</v>
      </c>
      <c r="G57" s="30" t="s">
        <v>21</v>
      </c>
      <c r="H57" s="25">
        <f t="shared" si="4"/>
        <v>744</v>
      </c>
      <c r="I57" s="28"/>
      <c r="J57" s="28"/>
      <c r="K57" s="28"/>
      <c r="L57" s="28"/>
      <c r="M57" s="25">
        <v>13.2</v>
      </c>
      <c r="N57" s="29">
        <f t="shared" si="5"/>
        <v>13.2</v>
      </c>
      <c r="O57">
        <v>69</v>
      </c>
      <c r="P57">
        <v>64.5</v>
      </c>
      <c r="Q57">
        <v>28.8</v>
      </c>
      <c r="R57">
        <f t="shared" si="7"/>
        <v>0.12817440000000002</v>
      </c>
    </row>
    <row r="58" spans="1:18" ht="14.25" thickTop="1" x14ac:dyDescent="0.4">
      <c r="A58" s="14" t="s">
        <v>78</v>
      </c>
      <c r="B58" s="15" t="s">
        <v>79</v>
      </c>
      <c r="C58" s="16">
        <v>2</v>
      </c>
      <c r="D58" s="16">
        <v>60</v>
      </c>
      <c r="E58" s="16" t="s">
        <v>20</v>
      </c>
      <c r="F58" s="16">
        <v>10.6</v>
      </c>
      <c r="G58" s="17" t="s">
        <v>21</v>
      </c>
      <c r="H58" s="16">
        <f>F58*D58*C58</f>
        <v>1272</v>
      </c>
      <c r="I58" s="18">
        <f>SUM(H58:H60)</f>
        <v>3396</v>
      </c>
      <c r="J58" s="18">
        <v>0</v>
      </c>
      <c r="K58" s="18">
        <f>I58-J58</f>
        <v>3396</v>
      </c>
      <c r="L58" s="18">
        <f>SUM(R58:R60)</f>
        <v>0.62908600000000003</v>
      </c>
      <c r="M58" s="16">
        <v>12</v>
      </c>
      <c r="N58" s="19">
        <f>M58*C58</f>
        <v>24</v>
      </c>
      <c r="O58">
        <v>48</v>
      </c>
      <c r="P58">
        <v>39</v>
      </c>
      <c r="Q58">
        <v>47</v>
      </c>
      <c r="R58">
        <f>C58*O58*P58*Q58/1000000</f>
        <v>0.17596800000000001</v>
      </c>
    </row>
    <row r="59" spans="1:18" x14ac:dyDescent="0.4">
      <c r="A59" s="14"/>
      <c r="B59" s="15" t="s">
        <v>80</v>
      </c>
      <c r="C59" s="16">
        <v>2</v>
      </c>
      <c r="D59" s="16">
        <v>60</v>
      </c>
      <c r="E59" s="16" t="s">
        <v>20</v>
      </c>
      <c r="F59" s="16">
        <v>7.3</v>
      </c>
      <c r="G59" s="17" t="s">
        <v>21</v>
      </c>
      <c r="H59" s="16">
        <f>F59*D59*C59</f>
        <v>876</v>
      </c>
      <c r="I59" s="18"/>
      <c r="J59" s="18"/>
      <c r="K59" s="18"/>
      <c r="L59" s="18"/>
      <c r="M59" s="16">
        <v>11.9</v>
      </c>
      <c r="N59" s="19">
        <f>M59*C59</f>
        <v>23.8</v>
      </c>
      <c r="O59">
        <v>53.2</v>
      </c>
      <c r="P59">
        <v>44</v>
      </c>
      <c r="Q59">
        <v>42.5</v>
      </c>
      <c r="R59">
        <f>C59*O59*P59*Q59/1000000</f>
        <v>0.19896800000000003</v>
      </c>
    </row>
    <row r="60" spans="1:18" x14ac:dyDescent="0.4">
      <c r="A60" s="14"/>
      <c r="B60" s="15" t="s">
        <v>81</v>
      </c>
      <c r="C60" s="16">
        <v>2</v>
      </c>
      <c r="D60" s="16">
        <v>60</v>
      </c>
      <c r="E60" s="16" t="s">
        <v>20</v>
      </c>
      <c r="F60" s="16">
        <v>10.4</v>
      </c>
      <c r="G60" s="17" t="s">
        <v>21</v>
      </c>
      <c r="H60" s="16">
        <f>F60*D60*C60</f>
        <v>1248</v>
      </c>
      <c r="I60" s="18"/>
      <c r="J60" s="18"/>
      <c r="K60" s="18"/>
      <c r="L60" s="18"/>
      <c r="M60" s="16">
        <v>10.8</v>
      </c>
      <c r="N60" s="19">
        <f>M60*C60</f>
        <v>21.6</v>
      </c>
      <c r="O60">
        <v>52</v>
      </c>
      <c r="P60">
        <v>42.5</v>
      </c>
      <c r="Q60">
        <v>57.5</v>
      </c>
      <c r="R60">
        <f>C60*O60*P60*Q60/1000000</f>
        <v>0.25414999999999999</v>
      </c>
    </row>
    <row r="61" spans="1:18" s="37" customFormat="1" ht="14.25" thickBot="1" x14ac:dyDescent="0.45">
      <c r="A61" s="31" t="s">
        <v>82</v>
      </c>
      <c r="B61" s="32"/>
      <c r="C61" s="33">
        <f>SUM(C5:C29,C32:C57,C58:C60)</f>
        <v>93</v>
      </c>
      <c r="D61" s="32" t="s">
        <v>83</v>
      </c>
      <c r="E61" s="32"/>
      <c r="F61" s="32"/>
      <c r="G61" s="32"/>
      <c r="H61" s="34">
        <f>SUM(K5:K29,K32:K57,K58:K60)</f>
        <v>62101.4</v>
      </c>
      <c r="I61" s="32" t="s">
        <v>84</v>
      </c>
      <c r="J61" s="32"/>
      <c r="K61" s="35">
        <f>SUM(L5:L29,L32:L57,L58:L60)</f>
        <v>10.024330609</v>
      </c>
      <c r="L61" s="32" t="s">
        <v>85</v>
      </c>
      <c r="M61" s="32"/>
      <c r="N61" s="36">
        <f>SUM(N5:N29,N32:N57,N58:N60)</f>
        <v>1385.85</v>
      </c>
      <c r="R61">
        <f>SUM(R5:R60)</f>
        <v>10.024330609</v>
      </c>
    </row>
    <row r="62" spans="1:18" ht="14.25" thickTop="1" x14ac:dyDescent="0.4"/>
    <row r="64" spans="1:18" ht="15.75" x14ac:dyDescent="0.4">
      <c r="A64" s="38" t="s">
        <v>86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</row>
    <row r="65" spans="1:14" x14ac:dyDescent="0.4">
      <c r="A65" s="39" t="s">
        <v>87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</row>
    <row r="66" spans="1:14" ht="15.75" x14ac:dyDescent="0.4">
      <c r="A66" s="38" t="s">
        <v>88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</row>
    <row r="67" spans="1:14" ht="15.75" x14ac:dyDescent="0.4">
      <c r="A67" s="38" t="s">
        <v>89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</row>
    <row r="68" spans="1:14" ht="15.75" x14ac:dyDescent="0.4">
      <c r="A68" s="38" t="s">
        <v>90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</row>
    <row r="69" spans="1:14" x14ac:dyDescent="0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</row>
    <row r="70" spans="1:14" x14ac:dyDescent="0.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</sheetData>
  <mergeCells count="59">
    <mergeCell ref="A70:N70"/>
    <mergeCell ref="A64:N64"/>
    <mergeCell ref="A65:N65"/>
    <mergeCell ref="A66:N66"/>
    <mergeCell ref="A67:N67"/>
    <mergeCell ref="A68:N68"/>
    <mergeCell ref="A69:N69"/>
    <mergeCell ref="A58:A60"/>
    <mergeCell ref="I58:I60"/>
    <mergeCell ref="J58:J60"/>
    <mergeCell ref="K58:K60"/>
    <mergeCell ref="L58:L60"/>
    <mergeCell ref="A61:B61"/>
    <mergeCell ref="D61:G61"/>
    <mergeCell ref="I61:J61"/>
    <mergeCell ref="L61:M61"/>
    <mergeCell ref="A45:A49"/>
    <mergeCell ref="I45:I49"/>
    <mergeCell ref="J45:J49"/>
    <mergeCell ref="K45:K49"/>
    <mergeCell ref="L45:L49"/>
    <mergeCell ref="A50:A57"/>
    <mergeCell ref="I50:I57"/>
    <mergeCell ref="J50:J57"/>
    <mergeCell ref="K50:K57"/>
    <mergeCell ref="L50:L57"/>
    <mergeCell ref="A32:A38"/>
    <mergeCell ref="I32:I38"/>
    <mergeCell ref="J32:J38"/>
    <mergeCell ref="K32:K38"/>
    <mergeCell ref="L32:L38"/>
    <mergeCell ref="A39:A44"/>
    <mergeCell ref="I39:I44"/>
    <mergeCell ref="J39:J44"/>
    <mergeCell ref="K39:K44"/>
    <mergeCell ref="L39:L44"/>
    <mergeCell ref="C30:E30"/>
    <mergeCell ref="F30:H30"/>
    <mergeCell ref="I30:K30"/>
    <mergeCell ref="L30:N30"/>
    <mergeCell ref="D31:E31"/>
    <mergeCell ref="F31:G31"/>
    <mergeCell ref="A5:A21"/>
    <mergeCell ref="I5:I21"/>
    <mergeCell ref="J5:J21"/>
    <mergeCell ref="K5:K21"/>
    <mergeCell ref="L5:L21"/>
    <mergeCell ref="A22:A29"/>
    <mergeCell ref="I22:I29"/>
    <mergeCell ref="J22:J29"/>
    <mergeCell ref="K22:K29"/>
    <mergeCell ref="L22:L29"/>
    <mergeCell ref="A1:N1"/>
    <mergeCell ref="C3:E3"/>
    <mergeCell ref="F3:H3"/>
    <mergeCell ref="I3:K3"/>
    <mergeCell ref="L3:N3"/>
    <mergeCell ref="D4:E4"/>
    <mergeCell ref="F4:G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AE86-3E6B-4A89-A9D8-BD09C25D2F33}">
  <dimension ref="A1:Z68"/>
  <sheetViews>
    <sheetView topLeftCell="B38" workbookViewId="0">
      <selection activeCell="D59" sqref="D59:G59"/>
    </sheetView>
  </sheetViews>
  <sheetFormatPr defaultRowHeight="13.9" x14ac:dyDescent="0.4"/>
  <cols>
    <col min="1" max="1" width="9.73046875" style="2" customWidth="1"/>
    <col min="2" max="2" width="29.46484375" style="3" customWidth="1"/>
    <col min="3" max="3" width="5.19921875" customWidth="1"/>
    <col min="4" max="4" width="5.33203125" customWidth="1"/>
    <col min="5" max="5" width="5.1328125" customWidth="1"/>
    <col min="6" max="6" width="6" customWidth="1"/>
    <col min="7" max="7" width="11" bestFit="1" customWidth="1"/>
    <col min="12" max="12" width="11.59765625" style="2" customWidth="1"/>
    <col min="13" max="13" width="8.1328125" style="2" customWidth="1"/>
    <col min="14" max="14" width="10.796875" style="2" customWidth="1"/>
    <col min="15" max="15" width="6.3984375" style="2" customWidth="1"/>
    <col min="16" max="16" width="9.73046875" customWidth="1"/>
    <col min="17" max="17" width="8.9296875" customWidth="1"/>
    <col min="21" max="21" width="7.06640625" customWidth="1"/>
    <col min="260" max="260" width="9.73046875" customWidth="1"/>
    <col min="261" max="261" width="29.46484375" customWidth="1"/>
    <col min="262" max="262" width="5.19921875" customWidth="1"/>
    <col min="263" max="263" width="5.33203125" customWidth="1"/>
    <col min="264" max="264" width="4.3984375" customWidth="1"/>
    <col min="265" max="265" width="6" customWidth="1"/>
    <col min="266" max="266" width="4.3984375" customWidth="1"/>
    <col min="268" max="268" width="11.59765625" customWidth="1"/>
    <col min="269" max="269" width="8.1328125" customWidth="1"/>
    <col min="270" max="270" width="10.796875" customWidth="1"/>
    <col min="271" max="271" width="6.3984375" customWidth="1"/>
    <col min="272" max="272" width="9.73046875" customWidth="1"/>
    <col min="273" max="273" width="8.9296875" customWidth="1"/>
    <col min="277" max="277" width="7.06640625" customWidth="1"/>
    <col min="516" max="516" width="9.73046875" customWidth="1"/>
    <col min="517" max="517" width="29.46484375" customWidth="1"/>
    <col min="518" max="518" width="5.19921875" customWidth="1"/>
    <col min="519" max="519" width="5.33203125" customWidth="1"/>
    <col min="520" max="520" width="4.3984375" customWidth="1"/>
    <col min="521" max="521" width="6" customWidth="1"/>
    <col min="522" max="522" width="4.3984375" customWidth="1"/>
    <col min="524" max="524" width="11.59765625" customWidth="1"/>
    <col min="525" max="525" width="8.1328125" customWidth="1"/>
    <col min="526" max="526" width="10.796875" customWidth="1"/>
    <col min="527" max="527" width="6.3984375" customWidth="1"/>
    <col min="528" max="528" width="9.73046875" customWidth="1"/>
    <col min="529" max="529" width="8.9296875" customWidth="1"/>
    <col min="533" max="533" width="7.06640625" customWidth="1"/>
    <col min="772" max="772" width="9.73046875" customWidth="1"/>
    <col min="773" max="773" width="29.46484375" customWidth="1"/>
    <col min="774" max="774" width="5.19921875" customWidth="1"/>
    <col min="775" max="775" width="5.33203125" customWidth="1"/>
    <col min="776" max="776" width="4.3984375" customWidth="1"/>
    <col min="777" max="777" width="6" customWidth="1"/>
    <col min="778" max="778" width="4.3984375" customWidth="1"/>
    <col min="780" max="780" width="11.59765625" customWidth="1"/>
    <col min="781" max="781" width="8.1328125" customWidth="1"/>
    <col min="782" max="782" width="10.796875" customWidth="1"/>
    <col min="783" max="783" width="6.3984375" customWidth="1"/>
    <col min="784" max="784" width="9.73046875" customWidth="1"/>
    <col min="785" max="785" width="8.9296875" customWidth="1"/>
    <col min="789" max="789" width="7.06640625" customWidth="1"/>
    <col min="1028" max="1028" width="9.73046875" customWidth="1"/>
    <col min="1029" max="1029" width="29.46484375" customWidth="1"/>
    <col min="1030" max="1030" width="5.19921875" customWidth="1"/>
    <col min="1031" max="1031" width="5.33203125" customWidth="1"/>
    <col min="1032" max="1032" width="4.3984375" customWidth="1"/>
    <col min="1033" max="1033" width="6" customWidth="1"/>
    <col min="1034" max="1034" width="4.3984375" customWidth="1"/>
    <col min="1036" max="1036" width="11.59765625" customWidth="1"/>
    <col min="1037" max="1037" width="8.1328125" customWidth="1"/>
    <col min="1038" max="1038" width="10.796875" customWidth="1"/>
    <col min="1039" max="1039" width="6.3984375" customWidth="1"/>
    <col min="1040" max="1040" width="9.73046875" customWidth="1"/>
    <col min="1041" max="1041" width="8.9296875" customWidth="1"/>
    <col min="1045" max="1045" width="7.06640625" customWidth="1"/>
    <col min="1284" max="1284" width="9.73046875" customWidth="1"/>
    <col min="1285" max="1285" width="29.46484375" customWidth="1"/>
    <col min="1286" max="1286" width="5.19921875" customWidth="1"/>
    <col min="1287" max="1287" width="5.33203125" customWidth="1"/>
    <col min="1288" max="1288" width="4.3984375" customWidth="1"/>
    <col min="1289" max="1289" width="6" customWidth="1"/>
    <col min="1290" max="1290" width="4.3984375" customWidth="1"/>
    <col min="1292" max="1292" width="11.59765625" customWidth="1"/>
    <col min="1293" max="1293" width="8.1328125" customWidth="1"/>
    <col min="1294" max="1294" width="10.796875" customWidth="1"/>
    <col min="1295" max="1295" width="6.3984375" customWidth="1"/>
    <col min="1296" max="1296" width="9.73046875" customWidth="1"/>
    <col min="1297" max="1297" width="8.9296875" customWidth="1"/>
    <col min="1301" max="1301" width="7.06640625" customWidth="1"/>
    <col min="1540" max="1540" width="9.73046875" customWidth="1"/>
    <col min="1541" max="1541" width="29.46484375" customWidth="1"/>
    <col min="1542" max="1542" width="5.19921875" customWidth="1"/>
    <col min="1543" max="1543" width="5.33203125" customWidth="1"/>
    <col min="1544" max="1544" width="4.3984375" customWidth="1"/>
    <col min="1545" max="1545" width="6" customWidth="1"/>
    <col min="1546" max="1546" width="4.3984375" customWidth="1"/>
    <col min="1548" max="1548" width="11.59765625" customWidth="1"/>
    <col min="1549" max="1549" width="8.1328125" customWidth="1"/>
    <col min="1550" max="1550" width="10.796875" customWidth="1"/>
    <col min="1551" max="1551" width="6.3984375" customWidth="1"/>
    <col min="1552" max="1552" width="9.73046875" customWidth="1"/>
    <col min="1553" max="1553" width="8.9296875" customWidth="1"/>
    <col min="1557" max="1557" width="7.06640625" customWidth="1"/>
    <col min="1796" max="1796" width="9.73046875" customWidth="1"/>
    <col min="1797" max="1797" width="29.46484375" customWidth="1"/>
    <col min="1798" max="1798" width="5.19921875" customWidth="1"/>
    <col min="1799" max="1799" width="5.33203125" customWidth="1"/>
    <col min="1800" max="1800" width="4.3984375" customWidth="1"/>
    <col min="1801" max="1801" width="6" customWidth="1"/>
    <col min="1802" max="1802" width="4.3984375" customWidth="1"/>
    <col min="1804" max="1804" width="11.59765625" customWidth="1"/>
    <col min="1805" max="1805" width="8.1328125" customWidth="1"/>
    <col min="1806" max="1806" width="10.796875" customWidth="1"/>
    <col min="1807" max="1807" width="6.3984375" customWidth="1"/>
    <col min="1808" max="1808" width="9.73046875" customWidth="1"/>
    <col min="1809" max="1809" width="8.9296875" customWidth="1"/>
    <col min="1813" max="1813" width="7.06640625" customWidth="1"/>
    <col min="2052" max="2052" width="9.73046875" customWidth="1"/>
    <col min="2053" max="2053" width="29.46484375" customWidth="1"/>
    <col min="2054" max="2054" width="5.19921875" customWidth="1"/>
    <col min="2055" max="2055" width="5.33203125" customWidth="1"/>
    <col min="2056" max="2056" width="4.3984375" customWidth="1"/>
    <col min="2057" max="2057" width="6" customWidth="1"/>
    <col min="2058" max="2058" width="4.3984375" customWidth="1"/>
    <col min="2060" max="2060" width="11.59765625" customWidth="1"/>
    <col min="2061" max="2061" width="8.1328125" customWidth="1"/>
    <col min="2062" max="2062" width="10.796875" customWidth="1"/>
    <col min="2063" max="2063" width="6.3984375" customWidth="1"/>
    <col min="2064" max="2064" width="9.73046875" customWidth="1"/>
    <col min="2065" max="2065" width="8.9296875" customWidth="1"/>
    <col min="2069" max="2069" width="7.06640625" customWidth="1"/>
    <col min="2308" max="2308" width="9.73046875" customWidth="1"/>
    <col min="2309" max="2309" width="29.46484375" customWidth="1"/>
    <col min="2310" max="2310" width="5.19921875" customWidth="1"/>
    <col min="2311" max="2311" width="5.33203125" customWidth="1"/>
    <col min="2312" max="2312" width="4.3984375" customWidth="1"/>
    <col min="2313" max="2313" width="6" customWidth="1"/>
    <col min="2314" max="2314" width="4.3984375" customWidth="1"/>
    <col min="2316" max="2316" width="11.59765625" customWidth="1"/>
    <col min="2317" max="2317" width="8.1328125" customWidth="1"/>
    <col min="2318" max="2318" width="10.796875" customWidth="1"/>
    <col min="2319" max="2319" width="6.3984375" customWidth="1"/>
    <col min="2320" max="2320" width="9.73046875" customWidth="1"/>
    <col min="2321" max="2321" width="8.9296875" customWidth="1"/>
    <col min="2325" max="2325" width="7.06640625" customWidth="1"/>
    <col min="2564" max="2564" width="9.73046875" customWidth="1"/>
    <col min="2565" max="2565" width="29.46484375" customWidth="1"/>
    <col min="2566" max="2566" width="5.19921875" customWidth="1"/>
    <col min="2567" max="2567" width="5.33203125" customWidth="1"/>
    <col min="2568" max="2568" width="4.3984375" customWidth="1"/>
    <col min="2569" max="2569" width="6" customWidth="1"/>
    <col min="2570" max="2570" width="4.3984375" customWidth="1"/>
    <col min="2572" max="2572" width="11.59765625" customWidth="1"/>
    <col min="2573" max="2573" width="8.1328125" customWidth="1"/>
    <col min="2574" max="2574" width="10.796875" customWidth="1"/>
    <col min="2575" max="2575" width="6.3984375" customWidth="1"/>
    <col min="2576" max="2576" width="9.73046875" customWidth="1"/>
    <col min="2577" max="2577" width="8.9296875" customWidth="1"/>
    <col min="2581" max="2581" width="7.06640625" customWidth="1"/>
    <col min="2820" max="2820" width="9.73046875" customWidth="1"/>
    <col min="2821" max="2821" width="29.46484375" customWidth="1"/>
    <col min="2822" max="2822" width="5.19921875" customWidth="1"/>
    <col min="2823" max="2823" width="5.33203125" customWidth="1"/>
    <col min="2824" max="2824" width="4.3984375" customWidth="1"/>
    <col min="2825" max="2825" width="6" customWidth="1"/>
    <col min="2826" max="2826" width="4.3984375" customWidth="1"/>
    <col min="2828" max="2828" width="11.59765625" customWidth="1"/>
    <col min="2829" max="2829" width="8.1328125" customWidth="1"/>
    <col min="2830" max="2830" width="10.796875" customWidth="1"/>
    <col min="2831" max="2831" width="6.3984375" customWidth="1"/>
    <col min="2832" max="2832" width="9.73046875" customWidth="1"/>
    <col min="2833" max="2833" width="8.9296875" customWidth="1"/>
    <col min="2837" max="2837" width="7.06640625" customWidth="1"/>
    <col min="3076" max="3076" width="9.73046875" customWidth="1"/>
    <col min="3077" max="3077" width="29.46484375" customWidth="1"/>
    <col min="3078" max="3078" width="5.19921875" customWidth="1"/>
    <col min="3079" max="3079" width="5.33203125" customWidth="1"/>
    <col min="3080" max="3080" width="4.3984375" customWidth="1"/>
    <col min="3081" max="3081" width="6" customWidth="1"/>
    <col min="3082" max="3082" width="4.3984375" customWidth="1"/>
    <col min="3084" max="3084" width="11.59765625" customWidth="1"/>
    <col min="3085" max="3085" width="8.1328125" customWidth="1"/>
    <col min="3086" max="3086" width="10.796875" customWidth="1"/>
    <col min="3087" max="3087" width="6.3984375" customWidth="1"/>
    <col min="3088" max="3088" width="9.73046875" customWidth="1"/>
    <col min="3089" max="3089" width="8.9296875" customWidth="1"/>
    <col min="3093" max="3093" width="7.06640625" customWidth="1"/>
    <col min="3332" max="3332" width="9.73046875" customWidth="1"/>
    <col min="3333" max="3333" width="29.46484375" customWidth="1"/>
    <col min="3334" max="3334" width="5.19921875" customWidth="1"/>
    <col min="3335" max="3335" width="5.33203125" customWidth="1"/>
    <col min="3336" max="3336" width="4.3984375" customWidth="1"/>
    <col min="3337" max="3337" width="6" customWidth="1"/>
    <col min="3338" max="3338" width="4.3984375" customWidth="1"/>
    <col min="3340" max="3340" width="11.59765625" customWidth="1"/>
    <col min="3341" max="3341" width="8.1328125" customWidth="1"/>
    <col min="3342" max="3342" width="10.796875" customWidth="1"/>
    <col min="3343" max="3343" width="6.3984375" customWidth="1"/>
    <col min="3344" max="3344" width="9.73046875" customWidth="1"/>
    <col min="3345" max="3345" width="8.9296875" customWidth="1"/>
    <col min="3349" max="3349" width="7.06640625" customWidth="1"/>
    <col min="3588" max="3588" width="9.73046875" customWidth="1"/>
    <col min="3589" max="3589" width="29.46484375" customWidth="1"/>
    <col min="3590" max="3590" width="5.19921875" customWidth="1"/>
    <col min="3591" max="3591" width="5.33203125" customWidth="1"/>
    <col min="3592" max="3592" width="4.3984375" customWidth="1"/>
    <col min="3593" max="3593" width="6" customWidth="1"/>
    <col min="3594" max="3594" width="4.3984375" customWidth="1"/>
    <col min="3596" max="3596" width="11.59765625" customWidth="1"/>
    <col min="3597" max="3597" width="8.1328125" customWidth="1"/>
    <col min="3598" max="3598" width="10.796875" customWidth="1"/>
    <col min="3599" max="3599" width="6.3984375" customWidth="1"/>
    <col min="3600" max="3600" width="9.73046875" customWidth="1"/>
    <col min="3601" max="3601" width="8.9296875" customWidth="1"/>
    <col min="3605" max="3605" width="7.06640625" customWidth="1"/>
    <col min="3844" max="3844" width="9.73046875" customWidth="1"/>
    <col min="3845" max="3845" width="29.46484375" customWidth="1"/>
    <col min="3846" max="3846" width="5.19921875" customWidth="1"/>
    <col min="3847" max="3847" width="5.33203125" customWidth="1"/>
    <col min="3848" max="3848" width="4.3984375" customWidth="1"/>
    <col min="3849" max="3849" width="6" customWidth="1"/>
    <col min="3850" max="3850" width="4.3984375" customWidth="1"/>
    <col min="3852" max="3852" width="11.59765625" customWidth="1"/>
    <col min="3853" max="3853" width="8.1328125" customWidth="1"/>
    <col min="3854" max="3854" width="10.796875" customWidth="1"/>
    <col min="3855" max="3855" width="6.3984375" customWidth="1"/>
    <col min="3856" max="3856" width="9.73046875" customWidth="1"/>
    <col min="3857" max="3857" width="8.9296875" customWidth="1"/>
    <col min="3861" max="3861" width="7.06640625" customWidth="1"/>
    <col min="4100" max="4100" width="9.73046875" customWidth="1"/>
    <col min="4101" max="4101" width="29.46484375" customWidth="1"/>
    <col min="4102" max="4102" width="5.19921875" customWidth="1"/>
    <col min="4103" max="4103" width="5.33203125" customWidth="1"/>
    <col min="4104" max="4104" width="4.3984375" customWidth="1"/>
    <col min="4105" max="4105" width="6" customWidth="1"/>
    <col min="4106" max="4106" width="4.3984375" customWidth="1"/>
    <col min="4108" max="4108" width="11.59765625" customWidth="1"/>
    <col min="4109" max="4109" width="8.1328125" customWidth="1"/>
    <col min="4110" max="4110" width="10.796875" customWidth="1"/>
    <col min="4111" max="4111" width="6.3984375" customWidth="1"/>
    <col min="4112" max="4112" width="9.73046875" customWidth="1"/>
    <col min="4113" max="4113" width="8.9296875" customWidth="1"/>
    <col min="4117" max="4117" width="7.06640625" customWidth="1"/>
    <col min="4356" max="4356" width="9.73046875" customWidth="1"/>
    <col min="4357" max="4357" width="29.46484375" customWidth="1"/>
    <col min="4358" max="4358" width="5.19921875" customWidth="1"/>
    <col min="4359" max="4359" width="5.33203125" customWidth="1"/>
    <col min="4360" max="4360" width="4.3984375" customWidth="1"/>
    <col min="4361" max="4361" width="6" customWidth="1"/>
    <col min="4362" max="4362" width="4.3984375" customWidth="1"/>
    <col min="4364" max="4364" width="11.59765625" customWidth="1"/>
    <col min="4365" max="4365" width="8.1328125" customWidth="1"/>
    <col min="4366" max="4366" width="10.796875" customWidth="1"/>
    <col min="4367" max="4367" width="6.3984375" customWidth="1"/>
    <col min="4368" max="4368" width="9.73046875" customWidth="1"/>
    <col min="4369" max="4369" width="8.9296875" customWidth="1"/>
    <col min="4373" max="4373" width="7.06640625" customWidth="1"/>
    <col min="4612" max="4612" width="9.73046875" customWidth="1"/>
    <col min="4613" max="4613" width="29.46484375" customWidth="1"/>
    <col min="4614" max="4614" width="5.19921875" customWidth="1"/>
    <col min="4615" max="4615" width="5.33203125" customWidth="1"/>
    <col min="4616" max="4616" width="4.3984375" customWidth="1"/>
    <col min="4617" max="4617" width="6" customWidth="1"/>
    <col min="4618" max="4618" width="4.3984375" customWidth="1"/>
    <col min="4620" max="4620" width="11.59765625" customWidth="1"/>
    <col min="4621" max="4621" width="8.1328125" customWidth="1"/>
    <col min="4622" max="4622" width="10.796875" customWidth="1"/>
    <col min="4623" max="4623" width="6.3984375" customWidth="1"/>
    <col min="4624" max="4624" width="9.73046875" customWidth="1"/>
    <col min="4625" max="4625" width="8.9296875" customWidth="1"/>
    <col min="4629" max="4629" width="7.06640625" customWidth="1"/>
    <col min="4868" max="4868" width="9.73046875" customWidth="1"/>
    <col min="4869" max="4869" width="29.46484375" customWidth="1"/>
    <col min="4870" max="4870" width="5.19921875" customWidth="1"/>
    <col min="4871" max="4871" width="5.33203125" customWidth="1"/>
    <col min="4872" max="4872" width="4.3984375" customWidth="1"/>
    <col min="4873" max="4873" width="6" customWidth="1"/>
    <col min="4874" max="4874" width="4.3984375" customWidth="1"/>
    <col min="4876" max="4876" width="11.59765625" customWidth="1"/>
    <col min="4877" max="4877" width="8.1328125" customWidth="1"/>
    <col min="4878" max="4878" width="10.796875" customWidth="1"/>
    <col min="4879" max="4879" width="6.3984375" customWidth="1"/>
    <col min="4880" max="4880" width="9.73046875" customWidth="1"/>
    <col min="4881" max="4881" width="8.9296875" customWidth="1"/>
    <col min="4885" max="4885" width="7.06640625" customWidth="1"/>
    <col min="5124" max="5124" width="9.73046875" customWidth="1"/>
    <col min="5125" max="5125" width="29.46484375" customWidth="1"/>
    <col min="5126" max="5126" width="5.19921875" customWidth="1"/>
    <col min="5127" max="5127" width="5.33203125" customWidth="1"/>
    <col min="5128" max="5128" width="4.3984375" customWidth="1"/>
    <col min="5129" max="5129" width="6" customWidth="1"/>
    <col min="5130" max="5130" width="4.3984375" customWidth="1"/>
    <col min="5132" max="5132" width="11.59765625" customWidth="1"/>
    <col min="5133" max="5133" width="8.1328125" customWidth="1"/>
    <col min="5134" max="5134" width="10.796875" customWidth="1"/>
    <col min="5135" max="5135" width="6.3984375" customWidth="1"/>
    <col min="5136" max="5136" width="9.73046875" customWidth="1"/>
    <col min="5137" max="5137" width="8.9296875" customWidth="1"/>
    <col min="5141" max="5141" width="7.06640625" customWidth="1"/>
    <col min="5380" max="5380" width="9.73046875" customWidth="1"/>
    <col min="5381" max="5381" width="29.46484375" customWidth="1"/>
    <col min="5382" max="5382" width="5.19921875" customWidth="1"/>
    <col min="5383" max="5383" width="5.33203125" customWidth="1"/>
    <col min="5384" max="5384" width="4.3984375" customWidth="1"/>
    <col min="5385" max="5385" width="6" customWidth="1"/>
    <col min="5386" max="5386" width="4.3984375" customWidth="1"/>
    <col min="5388" max="5388" width="11.59765625" customWidth="1"/>
    <col min="5389" max="5389" width="8.1328125" customWidth="1"/>
    <col min="5390" max="5390" width="10.796875" customWidth="1"/>
    <col min="5391" max="5391" width="6.3984375" customWidth="1"/>
    <col min="5392" max="5392" width="9.73046875" customWidth="1"/>
    <col min="5393" max="5393" width="8.9296875" customWidth="1"/>
    <col min="5397" max="5397" width="7.06640625" customWidth="1"/>
    <col min="5636" max="5636" width="9.73046875" customWidth="1"/>
    <col min="5637" max="5637" width="29.46484375" customWidth="1"/>
    <col min="5638" max="5638" width="5.19921875" customWidth="1"/>
    <col min="5639" max="5639" width="5.33203125" customWidth="1"/>
    <col min="5640" max="5640" width="4.3984375" customWidth="1"/>
    <col min="5641" max="5641" width="6" customWidth="1"/>
    <col min="5642" max="5642" width="4.3984375" customWidth="1"/>
    <col min="5644" max="5644" width="11.59765625" customWidth="1"/>
    <col min="5645" max="5645" width="8.1328125" customWidth="1"/>
    <col min="5646" max="5646" width="10.796875" customWidth="1"/>
    <col min="5647" max="5647" width="6.3984375" customWidth="1"/>
    <col min="5648" max="5648" width="9.73046875" customWidth="1"/>
    <col min="5649" max="5649" width="8.9296875" customWidth="1"/>
    <col min="5653" max="5653" width="7.06640625" customWidth="1"/>
    <col min="5892" max="5892" width="9.73046875" customWidth="1"/>
    <col min="5893" max="5893" width="29.46484375" customWidth="1"/>
    <col min="5894" max="5894" width="5.19921875" customWidth="1"/>
    <col min="5895" max="5895" width="5.33203125" customWidth="1"/>
    <col min="5896" max="5896" width="4.3984375" customWidth="1"/>
    <col min="5897" max="5897" width="6" customWidth="1"/>
    <col min="5898" max="5898" width="4.3984375" customWidth="1"/>
    <col min="5900" max="5900" width="11.59765625" customWidth="1"/>
    <col min="5901" max="5901" width="8.1328125" customWidth="1"/>
    <col min="5902" max="5902" width="10.796875" customWidth="1"/>
    <col min="5903" max="5903" width="6.3984375" customWidth="1"/>
    <col min="5904" max="5904" width="9.73046875" customWidth="1"/>
    <col min="5905" max="5905" width="8.9296875" customWidth="1"/>
    <col min="5909" max="5909" width="7.06640625" customWidth="1"/>
    <col min="6148" max="6148" width="9.73046875" customWidth="1"/>
    <col min="6149" max="6149" width="29.46484375" customWidth="1"/>
    <col min="6150" max="6150" width="5.19921875" customWidth="1"/>
    <col min="6151" max="6151" width="5.33203125" customWidth="1"/>
    <col min="6152" max="6152" width="4.3984375" customWidth="1"/>
    <col min="6153" max="6153" width="6" customWidth="1"/>
    <col min="6154" max="6154" width="4.3984375" customWidth="1"/>
    <col min="6156" max="6156" width="11.59765625" customWidth="1"/>
    <col min="6157" max="6157" width="8.1328125" customWidth="1"/>
    <col min="6158" max="6158" width="10.796875" customWidth="1"/>
    <col min="6159" max="6159" width="6.3984375" customWidth="1"/>
    <col min="6160" max="6160" width="9.73046875" customWidth="1"/>
    <col min="6161" max="6161" width="8.9296875" customWidth="1"/>
    <col min="6165" max="6165" width="7.06640625" customWidth="1"/>
    <col min="6404" max="6404" width="9.73046875" customWidth="1"/>
    <col min="6405" max="6405" width="29.46484375" customWidth="1"/>
    <col min="6406" max="6406" width="5.19921875" customWidth="1"/>
    <col min="6407" max="6407" width="5.33203125" customWidth="1"/>
    <col min="6408" max="6408" width="4.3984375" customWidth="1"/>
    <col min="6409" max="6409" width="6" customWidth="1"/>
    <col min="6410" max="6410" width="4.3984375" customWidth="1"/>
    <col min="6412" max="6412" width="11.59765625" customWidth="1"/>
    <col min="6413" max="6413" width="8.1328125" customWidth="1"/>
    <col min="6414" max="6414" width="10.796875" customWidth="1"/>
    <col min="6415" max="6415" width="6.3984375" customWidth="1"/>
    <col min="6416" max="6416" width="9.73046875" customWidth="1"/>
    <col min="6417" max="6417" width="8.9296875" customWidth="1"/>
    <col min="6421" max="6421" width="7.06640625" customWidth="1"/>
    <col min="6660" max="6660" width="9.73046875" customWidth="1"/>
    <col min="6661" max="6661" width="29.46484375" customWidth="1"/>
    <col min="6662" max="6662" width="5.19921875" customWidth="1"/>
    <col min="6663" max="6663" width="5.33203125" customWidth="1"/>
    <col min="6664" max="6664" width="4.3984375" customWidth="1"/>
    <col min="6665" max="6665" width="6" customWidth="1"/>
    <col min="6666" max="6666" width="4.3984375" customWidth="1"/>
    <col min="6668" max="6668" width="11.59765625" customWidth="1"/>
    <col min="6669" max="6669" width="8.1328125" customWidth="1"/>
    <col min="6670" max="6670" width="10.796875" customWidth="1"/>
    <col min="6671" max="6671" width="6.3984375" customWidth="1"/>
    <col min="6672" max="6672" width="9.73046875" customWidth="1"/>
    <col min="6673" max="6673" width="8.9296875" customWidth="1"/>
    <col min="6677" max="6677" width="7.06640625" customWidth="1"/>
    <col min="6916" max="6916" width="9.73046875" customWidth="1"/>
    <col min="6917" max="6917" width="29.46484375" customWidth="1"/>
    <col min="6918" max="6918" width="5.19921875" customWidth="1"/>
    <col min="6919" max="6919" width="5.33203125" customWidth="1"/>
    <col min="6920" max="6920" width="4.3984375" customWidth="1"/>
    <col min="6921" max="6921" width="6" customWidth="1"/>
    <col min="6922" max="6922" width="4.3984375" customWidth="1"/>
    <col min="6924" max="6924" width="11.59765625" customWidth="1"/>
    <col min="6925" max="6925" width="8.1328125" customWidth="1"/>
    <col min="6926" max="6926" width="10.796875" customWidth="1"/>
    <col min="6927" max="6927" width="6.3984375" customWidth="1"/>
    <col min="6928" max="6928" width="9.73046875" customWidth="1"/>
    <col min="6929" max="6929" width="8.9296875" customWidth="1"/>
    <col min="6933" max="6933" width="7.06640625" customWidth="1"/>
    <col min="7172" max="7172" width="9.73046875" customWidth="1"/>
    <col min="7173" max="7173" width="29.46484375" customWidth="1"/>
    <col min="7174" max="7174" width="5.19921875" customWidth="1"/>
    <col min="7175" max="7175" width="5.33203125" customWidth="1"/>
    <col min="7176" max="7176" width="4.3984375" customWidth="1"/>
    <col min="7177" max="7177" width="6" customWidth="1"/>
    <col min="7178" max="7178" width="4.3984375" customWidth="1"/>
    <col min="7180" max="7180" width="11.59765625" customWidth="1"/>
    <col min="7181" max="7181" width="8.1328125" customWidth="1"/>
    <col min="7182" max="7182" width="10.796875" customWidth="1"/>
    <col min="7183" max="7183" width="6.3984375" customWidth="1"/>
    <col min="7184" max="7184" width="9.73046875" customWidth="1"/>
    <col min="7185" max="7185" width="8.9296875" customWidth="1"/>
    <col min="7189" max="7189" width="7.06640625" customWidth="1"/>
    <col min="7428" max="7428" width="9.73046875" customWidth="1"/>
    <col min="7429" max="7429" width="29.46484375" customWidth="1"/>
    <col min="7430" max="7430" width="5.19921875" customWidth="1"/>
    <col min="7431" max="7431" width="5.33203125" customWidth="1"/>
    <col min="7432" max="7432" width="4.3984375" customWidth="1"/>
    <col min="7433" max="7433" width="6" customWidth="1"/>
    <col min="7434" max="7434" width="4.3984375" customWidth="1"/>
    <col min="7436" max="7436" width="11.59765625" customWidth="1"/>
    <col min="7437" max="7437" width="8.1328125" customWidth="1"/>
    <col min="7438" max="7438" width="10.796875" customWidth="1"/>
    <col min="7439" max="7439" width="6.3984375" customWidth="1"/>
    <col min="7440" max="7440" width="9.73046875" customWidth="1"/>
    <col min="7441" max="7441" width="8.9296875" customWidth="1"/>
    <col min="7445" max="7445" width="7.06640625" customWidth="1"/>
    <col min="7684" max="7684" width="9.73046875" customWidth="1"/>
    <col min="7685" max="7685" width="29.46484375" customWidth="1"/>
    <col min="7686" max="7686" width="5.19921875" customWidth="1"/>
    <col min="7687" max="7687" width="5.33203125" customWidth="1"/>
    <col min="7688" max="7688" width="4.3984375" customWidth="1"/>
    <col min="7689" max="7689" width="6" customWidth="1"/>
    <col min="7690" max="7690" width="4.3984375" customWidth="1"/>
    <col min="7692" max="7692" width="11.59765625" customWidth="1"/>
    <col min="7693" max="7693" width="8.1328125" customWidth="1"/>
    <col min="7694" max="7694" width="10.796875" customWidth="1"/>
    <col min="7695" max="7695" width="6.3984375" customWidth="1"/>
    <col min="7696" max="7696" width="9.73046875" customWidth="1"/>
    <col min="7697" max="7697" width="8.9296875" customWidth="1"/>
    <col min="7701" max="7701" width="7.06640625" customWidth="1"/>
    <col min="7940" max="7940" width="9.73046875" customWidth="1"/>
    <col min="7941" max="7941" width="29.46484375" customWidth="1"/>
    <col min="7942" max="7942" width="5.19921875" customWidth="1"/>
    <col min="7943" max="7943" width="5.33203125" customWidth="1"/>
    <col min="7944" max="7944" width="4.3984375" customWidth="1"/>
    <col min="7945" max="7945" width="6" customWidth="1"/>
    <col min="7946" max="7946" width="4.3984375" customWidth="1"/>
    <col min="7948" max="7948" width="11.59765625" customWidth="1"/>
    <col min="7949" max="7949" width="8.1328125" customWidth="1"/>
    <col min="7950" max="7950" width="10.796875" customWidth="1"/>
    <col min="7951" max="7951" width="6.3984375" customWidth="1"/>
    <col min="7952" max="7952" width="9.73046875" customWidth="1"/>
    <col min="7953" max="7953" width="8.9296875" customWidth="1"/>
    <col min="7957" max="7957" width="7.06640625" customWidth="1"/>
    <col min="8196" max="8196" width="9.73046875" customWidth="1"/>
    <col min="8197" max="8197" width="29.46484375" customWidth="1"/>
    <col min="8198" max="8198" width="5.19921875" customWidth="1"/>
    <col min="8199" max="8199" width="5.33203125" customWidth="1"/>
    <col min="8200" max="8200" width="4.3984375" customWidth="1"/>
    <col min="8201" max="8201" width="6" customWidth="1"/>
    <col min="8202" max="8202" width="4.3984375" customWidth="1"/>
    <col min="8204" max="8204" width="11.59765625" customWidth="1"/>
    <col min="8205" max="8205" width="8.1328125" customWidth="1"/>
    <col min="8206" max="8206" width="10.796875" customWidth="1"/>
    <col min="8207" max="8207" width="6.3984375" customWidth="1"/>
    <col min="8208" max="8208" width="9.73046875" customWidth="1"/>
    <col min="8209" max="8209" width="8.9296875" customWidth="1"/>
    <col min="8213" max="8213" width="7.06640625" customWidth="1"/>
    <col min="8452" max="8452" width="9.73046875" customWidth="1"/>
    <col min="8453" max="8453" width="29.46484375" customWidth="1"/>
    <col min="8454" max="8454" width="5.19921875" customWidth="1"/>
    <col min="8455" max="8455" width="5.33203125" customWidth="1"/>
    <col min="8456" max="8456" width="4.3984375" customWidth="1"/>
    <col min="8457" max="8457" width="6" customWidth="1"/>
    <col min="8458" max="8458" width="4.3984375" customWidth="1"/>
    <col min="8460" max="8460" width="11.59765625" customWidth="1"/>
    <col min="8461" max="8461" width="8.1328125" customWidth="1"/>
    <col min="8462" max="8462" width="10.796875" customWidth="1"/>
    <col min="8463" max="8463" width="6.3984375" customWidth="1"/>
    <col min="8464" max="8464" width="9.73046875" customWidth="1"/>
    <col min="8465" max="8465" width="8.9296875" customWidth="1"/>
    <col min="8469" max="8469" width="7.06640625" customWidth="1"/>
    <col min="8708" max="8708" width="9.73046875" customWidth="1"/>
    <col min="8709" max="8709" width="29.46484375" customWidth="1"/>
    <col min="8710" max="8710" width="5.19921875" customWidth="1"/>
    <col min="8711" max="8711" width="5.33203125" customWidth="1"/>
    <col min="8712" max="8712" width="4.3984375" customWidth="1"/>
    <col min="8713" max="8713" width="6" customWidth="1"/>
    <col min="8714" max="8714" width="4.3984375" customWidth="1"/>
    <col min="8716" max="8716" width="11.59765625" customWidth="1"/>
    <col min="8717" max="8717" width="8.1328125" customWidth="1"/>
    <col min="8718" max="8718" width="10.796875" customWidth="1"/>
    <col min="8719" max="8719" width="6.3984375" customWidth="1"/>
    <col min="8720" max="8720" width="9.73046875" customWidth="1"/>
    <col min="8721" max="8721" width="8.9296875" customWidth="1"/>
    <col min="8725" max="8725" width="7.06640625" customWidth="1"/>
    <col min="8964" max="8964" width="9.73046875" customWidth="1"/>
    <col min="8965" max="8965" width="29.46484375" customWidth="1"/>
    <col min="8966" max="8966" width="5.19921875" customWidth="1"/>
    <col min="8967" max="8967" width="5.33203125" customWidth="1"/>
    <col min="8968" max="8968" width="4.3984375" customWidth="1"/>
    <col min="8969" max="8969" width="6" customWidth="1"/>
    <col min="8970" max="8970" width="4.3984375" customWidth="1"/>
    <col min="8972" max="8972" width="11.59765625" customWidth="1"/>
    <col min="8973" max="8973" width="8.1328125" customWidth="1"/>
    <col min="8974" max="8974" width="10.796875" customWidth="1"/>
    <col min="8975" max="8975" width="6.3984375" customWidth="1"/>
    <col min="8976" max="8976" width="9.73046875" customWidth="1"/>
    <col min="8977" max="8977" width="8.9296875" customWidth="1"/>
    <col min="8981" max="8981" width="7.06640625" customWidth="1"/>
    <col min="9220" max="9220" width="9.73046875" customWidth="1"/>
    <col min="9221" max="9221" width="29.46484375" customWidth="1"/>
    <col min="9222" max="9222" width="5.19921875" customWidth="1"/>
    <col min="9223" max="9223" width="5.33203125" customWidth="1"/>
    <col min="9224" max="9224" width="4.3984375" customWidth="1"/>
    <col min="9225" max="9225" width="6" customWidth="1"/>
    <col min="9226" max="9226" width="4.3984375" customWidth="1"/>
    <col min="9228" max="9228" width="11.59765625" customWidth="1"/>
    <col min="9229" max="9229" width="8.1328125" customWidth="1"/>
    <col min="9230" max="9230" width="10.796875" customWidth="1"/>
    <col min="9231" max="9231" width="6.3984375" customWidth="1"/>
    <col min="9232" max="9232" width="9.73046875" customWidth="1"/>
    <col min="9233" max="9233" width="8.9296875" customWidth="1"/>
    <col min="9237" max="9237" width="7.06640625" customWidth="1"/>
    <col min="9476" max="9476" width="9.73046875" customWidth="1"/>
    <col min="9477" max="9477" width="29.46484375" customWidth="1"/>
    <col min="9478" max="9478" width="5.19921875" customWidth="1"/>
    <col min="9479" max="9479" width="5.33203125" customWidth="1"/>
    <col min="9480" max="9480" width="4.3984375" customWidth="1"/>
    <col min="9481" max="9481" width="6" customWidth="1"/>
    <col min="9482" max="9482" width="4.3984375" customWidth="1"/>
    <col min="9484" max="9484" width="11.59765625" customWidth="1"/>
    <col min="9485" max="9485" width="8.1328125" customWidth="1"/>
    <col min="9486" max="9486" width="10.796875" customWidth="1"/>
    <col min="9487" max="9487" width="6.3984375" customWidth="1"/>
    <col min="9488" max="9488" width="9.73046875" customWidth="1"/>
    <col min="9489" max="9489" width="8.9296875" customWidth="1"/>
    <col min="9493" max="9493" width="7.06640625" customWidth="1"/>
    <col min="9732" max="9732" width="9.73046875" customWidth="1"/>
    <col min="9733" max="9733" width="29.46484375" customWidth="1"/>
    <col min="9734" max="9734" width="5.19921875" customWidth="1"/>
    <col min="9735" max="9735" width="5.33203125" customWidth="1"/>
    <col min="9736" max="9736" width="4.3984375" customWidth="1"/>
    <col min="9737" max="9737" width="6" customWidth="1"/>
    <col min="9738" max="9738" width="4.3984375" customWidth="1"/>
    <col min="9740" max="9740" width="11.59765625" customWidth="1"/>
    <col min="9741" max="9741" width="8.1328125" customWidth="1"/>
    <col min="9742" max="9742" width="10.796875" customWidth="1"/>
    <col min="9743" max="9743" width="6.3984375" customWidth="1"/>
    <col min="9744" max="9744" width="9.73046875" customWidth="1"/>
    <col min="9745" max="9745" width="8.9296875" customWidth="1"/>
    <col min="9749" max="9749" width="7.06640625" customWidth="1"/>
    <col min="9988" max="9988" width="9.73046875" customWidth="1"/>
    <col min="9989" max="9989" width="29.46484375" customWidth="1"/>
    <col min="9990" max="9990" width="5.19921875" customWidth="1"/>
    <col min="9991" max="9991" width="5.33203125" customWidth="1"/>
    <col min="9992" max="9992" width="4.3984375" customWidth="1"/>
    <col min="9993" max="9993" width="6" customWidth="1"/>
    <col min="9994" max="9994" width="4.3984375" customWidth="1"/>
    <col min="9996" max="9996" width="11.59765625" customWidth="1"/>
    <col min="9997" max="9997" width="8.1328125" customWidth="1"/>
    <col min="9998" max="9998" width="10.796875" customWidth="1"/>
    <col min="9999" max="9999" width="6.3984375" customWidth="1"/>
    <col min="10000" max="10000" width="9.73046875" customWidth="1"/>
    <col min="10001" max="10001" width="8.9296875" customWidth="1"/>
    <col min="10005" max="10005" width="7.06640625" customWidth="1"/>
    <col min="10244" max="10244" width="9.73046875" customWidth="1"/>
    <col min="10245" max="10245" width="29.46484375" customWidth="1"/>
    <col min="10246" max="10246" width="5.19921875" customWidth="1"/>
    <col min="10247" max="10247" width="5.33203125" customWidth="1"/>
    <col min="10248" max="10248" width="4.3984375" customWidth="1"/>
    <col min="10249" max="10249" width="6" customWidth="1"/>
    <col min="10250" max="10250" width="4.3984375" customWidth="1"/>
    <col min="10252" max="10252" width="11.59765625" customWidth="1"/>
    <col min="10253" max="10253" width="8.1328125" customWidth="1"/>
    <col min="10254" max="10254" width="10.796875" customWidth="1"/>
    <col min="10255" max="10255" width="6.3984375" customWidth="1"/>
    <col min="10256" max="10256" width="9.73046875" customWidth="1"/>
    <col min="10257" max="10257" width="8.9296875" customWidth="1"/>
    <col min="10261" max="10261" width="7.06640625" customWidth="1"/>
    <col min="10500" max="10500" width="9.73046875" customWidth="1"/>
    <col min="10501" max="10501" width="29.46484375" customWidth="1"/>
    <col min="10502" max="10502" width="5.19921875" customWidth="1"/>
    <col min="10503" max="10503" width="5.33203125" customWidth="1"/>
    <col min="10504" max="10504" width="4.3984375" customWidth="1"/>
    <col min="10505" max="10505" width="6" customWidth="1"/>
    <col min="10506" max="10506" width="4.3984375" customWidth="1"/>
    <col min="10508" max="10508" width="11.59765625" customWidth="1"/>
    <col min="10509" max="10509" width="8.1328125" customWidth="1"/>
    <col min="10510" max="10510" width="10.796875" customWidth="1"/>
    <col min="10511" max="10511" width="6.3984375" customWidth="1"/>
    <col min="10512" max="10512" width="9.73046875" customWidth="1"/>
    <col min="10513" max="10513" width="8.9296875" customWidth="1"/>
    <col min="10517" max="10517" width="7.06640625" customWidth="1"/>
    <col min="10756" max="10756" width="9.73046875" customWidth="1"/>
    <col min="10757" max="10757" width="29.46484375" customWidth="1"/>
    <col min="10758" max="10758" width="5.19921875" customWidth="1"/>
    <col min="10759" max="10759" width="5.33203125" customWidth="1"/>
    <col min="10760" max="10760" width="4.3984375" customWidth="1"/>
    <col min="10761" max="10761" width="6" customWidth="1"/>
    <col min="10762" max="10762" width="4.3984375" customWidth="1"/>
    <col min="10764" max="10764" width="11.59765625" customWidth="1"/>
    <col min="10765" max="10765" width="8.1328125" customWidth="1"/>
    <col min="10766" max="10766" width="10.796875" customWidth="1"/>
    <col min="10767" max="10767" width="6.3984375" customWidth="1"/>
    <col min="10768" max="10768" width="9.73046875" customWidth="1"/>
    <col min="10769" max="10769" width="8.9296875" customWidth="1"/>
    <col min="10773" max="10773" width="7.06640625" customWidth="1"/>
    <col min="11012" max="11012" width="9.73046875" customWidth="1"/>
    <col min="11013" max="11013" width="29.46484375" customWidth="1"/>
    <col min="11014" max="11014" width="5.19921875" customWidth="1"/>
    <col min="11015" max="11015" width="5.33203125" customWidth="1"/>
    <col min="11016" max="11016" width="4.3984375" customWidth="1"/>
    <col min="11017" max="11017" width="6" customWidth="1"/>
    <col min="11018" max="11018" width="4.3984375" customWidth="1"/>
    <col min="11020" max="11020" width="11.59765625" customWidth="1"/>
    <col min="11021" max="11021" width="8.1328125" customWidth="1"/>
    <col min="11022" max="11022" width="10.796875" customWidth="1"/>
    <col min="11023" max="11023" width="6.3984375" customWidth="1"/>
    <col min="11024" max="11024" width="9.73046875" customWidth="1"/>
    <col min="11025" max="11025" width="8.9296875" customWidth="1"/>
    <col min="11029" max="11029" width="7.06640625" customWidth="1"/>
    <col min="11268" max="11268" width="9.73046875" customWidth="1"/>
    <col min="11269" max="11269" width="29.46484375" customWidth="1"/>
    <col min="11270" max="11270" width="5.19921875" customWidth="1"/>
    <col min="11271" max="11271" width="5.33203125" customWidth="1"/>
    <col min="11272" max="11272" width="4.3984375" customWidth="1"/>
    <col min="11273" max="11273" width="6" customWidth="1"/>
    <col min="11274" max="11274" width="4.3984375" customWidth="1"/>
    <col min="11276" max="11276" width="11.59765625" customWidth="1"/>
    <col min="11277" max="11277" width="8.1328125" customWidth="1"/>
    <col min="11278" max="11278" width="10.796875" customWidth="1"/>
    <col min="11279" max="11279" width="6.3984375" customWidth="1"/>
    <col min="11280" max="11280" width="9.73046875" customWidth="1"/>
    <col min="11281" max="11281" width="8.9296875" customWidth="1"/>
    <col min="11285" max="11285" width="7.06640625" customWidth="1"/>
    <col min="11524" max="11524" width="9.73046875" customWidth="1"/>
    <col min="11525" max="11525" width="29.46484375" customWidth="1"/>
    <col min="11526" max="11526" width="5.19921875" customWidth="1"/>
    <col min="11527" max="11527" width="5.33203125" customWidth="1"/>
    <col min="11528" max="11528" width="4.3984375" customWidth="1"/>
    <col min="11529" max="11529" width="6" customWidth="1"/>
    <col min="11530" max="11530" width="4.3984375" customWidth="1"/>
    <col min="11532" max="11532" width="11.59765625" customWidth="1"/>
    <col min="11533" max="11533" width="8.1328125" customWidth="1"/>
    <col min="11534" max="11534" width="10.796875" customWidth="1"/>
    <col min="11535" max="11535" width="6.3984375" customWidth="1"/>
    <col min="11536" max="11536" width="9.73046875" customWidth="1"/>
    <col min="11537" max="11537" width="8.9296875" customWidth="1"/>
    <col min="11541" max="11541" width="7.06640625" customWidth="1"/>
    <col min="11780" max="11780" width="9.73046875" customWidth="1"/>
    <col min="11781" max="11781" width="29.46484375" customWidth="1"/>
    <col min="11782" max="11782" width="5.19921875" customWidth="1"/>
    <col min="11783" max="11783" width="5.33203125" customWidth="1"/>
    <col min="11784" max="11784" width="4.3984375" customWidth="1"/>
    <col min="11785" max="11785" width="6" customWidth="1"/>
    <col min="11786" max="11786" width="4.3984375" customWidth="1"/>
    <col min="11788" max="11788" width="11.59765625" customWidth="1"/>
    <col min="11789" max="11789" width="8.1328125" customWidth="1"/>
    <col min="11790" max="11790" width="10.796875" customWidth="1"/>
    <col min="11791" max="11791" width="6.3984375" customWidth="1"/>
    <col min="11792" max="11792" width="9.73046875" customWidth="1"/>
    <col min="11793" max="11793" width="8.9296875" customWidth="1"/>
    <col min="11797" max="11797" width="7.06640625" customWidth="1"/>
    <col min="12036" max="12036" width="9.73046875" customWidth="1"/>
    <col min="12037" max="12037" width="29.46484375" customWidth="1"/>
    <col min="12038" max="12038" width="5.19921875" customWidth="1"/>
    <col min="12039" max="12039" width="5.33203125" customWidth="1"/>
    <col min="12040" max="12040" width="4.3984375" customWidth="1"/>
    <col min="12041" max="12041" width="6" customWidth="1"/>
    <col min="12042" max="12042" width="4.3984375" customWidth="1"/>
    <col min="12044" max="12044" width="11.59765625" customWidth="1"/>
    <col min="12045" max="12045" width="8.1328125" customWidth="1"/>
    <col min="12046" max="12046" width="10.796875" customWidth="1"/>
    <col min="12047" max="12047" width="6.3984375" customWidth="1"/>
    <col min="12048" max="12048" width="9.73046875" customWidth="1"/>
    <col min="12049" max="12049" width="8.9296875" customWidth="1"/>
    <col min="12053" max="12053" width="7.06640625" customWidth="1"/>
    <col min="12292" max="12292" width="9.73046875" customWidth="1"/>
    <col min="12293" max="12293" width="29.46484375" customWidth="1"/>
    <col min="12294" max="12294" width="5.19921875" customWidth="1"/>
    <col min="12295" max="12295" width="5.33203125" customWidth="1"/>
    <col min="12296" max="12296" width="4.3984375" customWidth="1"/>
    <col min="12297" max="12297" width="6" customWidth="1"/>
    <col min="12298" max="12298" width="4.3984375" customWidth="1"/>
    <col min="12300" max="12300" width="11.59765625" customWidth="1"/>
    <col min="12301" max="12301" width="8.1328125" customWidth="1"/>
    <col min="12302" max="12302" width="10.796875" customWidth="1"/>
    <col min="12303" max="12303" width="6.3984375" customWidth="1"/>
    <col min="12304" max="12304" width="9.73046875" customWidth="1"/>
    <col min="12305" max="12305" width="8.9296875" customWidth="1"/>
    <col min="12309" max="12309" width="7.06640625" customWidth="1"/>
    <col min="12548" max="12548" width="9.73046875" customWidth="1"/>
    <col min="12549" max="12549" width="29.46484375" customWidth="1"/>
    <col min="12550" max="12550" width="5.19921875" customWidth="1"/>
    <col min="12551" max="12551" width="5.33203125" customWidth="1"/>
    <col min="12552" max="12552" width="4.3984375" customWidth="1"/>
    <col min="12553" max="12553" width="6" customWidth="1"/>
    <col min="12554" max="12554" width="4.3984375" customWidth="1"/>
    <col min="12556" max="12556" width="11.59765625" customWidth="1"/>
    <col min="12557" max="12557" width="8.1328125" customWidth="1"/>
    <col min="12558" max="12558" width="10.796875" customWidth="1"/>
    <col min="12559" max="12559" width="6.3984375" customWidth="1"/>
    <col min="12560" max="12560" width="9.73046875" customWidth="1"/>
    <col min="12561" max="12561" width="8.9296875" customWidth="1"/>
    <col min="12565" max="12565" width="7.06640625" customWidth="1"/>
    <col min="12804" max="12804" width="9.73046875" customWidth="1"/>
    <col min="12805" max="12805" width="29.46484375" customWidth="1"/>
    <col min="12806" max="12806" width="5.19921875" customWidth="1"/>
    <col min="12807" max="12807" width="5.33203125" customWidth="1"/>
    <col min="12808" max="12808" width="4.3984375" customWidth="1"/>
    <col min="12809" max="12809" width="6" customWidth="1"/>
    <col min="12810" max="12810" width="4.3984375" customWidth="1"/>
    <col min="12812" max="12812" width="11.59765625" customWidth="1"/>
    <col min="12813" max="12813" width="8.1328125" customWidth="1"/>
    <col min="12814" max="12814" width="10.796875" customWidth="1"/>
    <col min="12815" max="12815" width="6.3984375" customWidth="1"/>
    <col min="12816" max="12816" width="9.73046875" customWidth="1"/>
    <col min="12817" max="12817" width="8.9296875" customWidth="1"/>
    <col min="12821" max="12821" width="7.06640625" customWidth="1"/>
    <col min="13060" max="13060" width="9.73046875" customWidth="1"/>
    <col min="13061" max="13061" width="29.46484375" customWidth="1"/>
    <col min="13062" max="13062" width="5.19921875" customWidth="1"/>
    <col min="13063" max="13063" width="5.33203125" customWidth="1"/>
    <col min="13064" max="13064" width="4.3984375" customWidth="1"/>
    <col min="13065" max="13065" width="6" customWidth="1"/>
    <col min="13066" max="13066" width="4.3984375" customWidth="1"/>
    <col min="13068" max="13068" width="11.59765625" customWidth="1"/>
    <col min="13069" max="13069" width="8.1328125" customWidth="1"/>
    <col min="13070" max="13070" width="10.796875" customWidth="1"/>
    <col min="13071" max="13071" width="6.3984375" customWidth="1"/>
    <col min="13072" max="13072" width="9.73046875" customWidth="1"/>
    <col min="13073" max="13073" width="8.9296875" customWidth="1"/>
    <col min="13077" max="13077" width="7.06640625" customWidth="1"/>
    <col min="13316" max="13316" width="9.73046875" customWidth="1"/>
    <col min="13317" max="13317" width="29.46484375" customWidth="1"/>
    <col min="13318" max="13318" width="5.19921875" customWidth="1"/>
    <col min="13319" max="13319" width="5.33203125" customWidth="1"/>
    <col min="13320" max="13320" width="4.3984375" customWidth="1"/>
    <col min="13321" max="13321" width="6" customWidth="1"/>
    <col min="13322" max="13322" width="4.3984375" customWidth="1"/>
    <col min="13324" max="13324" width="11.59765625" customWidth="1"/>
    <col min="13325" max="13325" width="8.1328125" customWidth="1"/>
    <col min="13326" max="13326" width="10.796875" customWidth="1"/>
    <col min="13327" max="13327" width="6.3984375" customWidth="1"/>
    <col min="13328" max="13328" width="9.73046875" customWidth="1"/>
    <col min="13329" max="13329" width="8.9296875" customWidth="1"/>
    <col min="13333" max="13333" width="7.06640625" customWidth="1"/>
    <col min="13572" max="13572" width="9.73046875" customWidth="1"/>
    <col min="13573" max="13573" width="29.46484375" customWidth="1"/>
    <col min="13574" max="13574" width="5.19921875" customWidth="1"/>
    <col min="13575" max="13575" width="5.33203125" customWidth="1"/>
    <col min="13576" max="13576" width="4.3984375" customWidth="1"/>
    <col min="13577" max="13577" width="6" customWidth="1"/>
    <col min="13578" max="13578" width="4.3984375" customWidth="1"/>
    <col min="13580" max="13580" width="11.59765625" customWidth="1"/>
    <col min="13581" max="13581" width="8.1328125" customWidth="1"/>
    <col min="13582" max="13582" width="10.796875" customWidth="1"/>
    <col min="13583" max="13583" width="6.3984375" customWidth="1"/>
    <col min="13584" max="13584" width="9.73046875" customWidth="1"/>
    <col min="13585" max="13585" width="8.9296875" customWidth="1"/>
    <col min="13589" max="13589" width="7.06640625" customWidth="1"/>
    <col min="13828" max="13828" width="9.73046875" customWidth="1"/>
    <col min="13829" max="13829" width="29.46484375" customWidth="1"/>
    <col min="13830" max="13830" width="5.19921875" customWidth="1"/>
    <col min="13831" max="13831" width="5.33203125" customWidth="1"/>
    <col min="13832" max="13832" width="4.3984375" customWidth="1"/>
    <col min="13833" max="13833" width="6" customWidth="1"/>
    <col min="13834" max="13834" width="4.3984375" customWidth="1"/>
    <col min="13836" max="13836" width="11.59765625" customWidth="1"/>
    <col min="13837" max="13837" width="8.1328125" customWidth="1"/>
    <col min="13838" max="13838" width="10.796875" customWidth="1"/>
    <col min="13839" max="13839" width="6.3984375" customWidth="1"/>
    <col min="13840" max="13840" width="9.73046875" customWidth="1"/>
    <col min="13841" max="13841" width="8.9296875" customWidth="1"/>
    <col min="13845" max="13845" width="7.06640625" customWidth="1"/>
    <col min="14084" max="14084" width="9.73046875" customWidth="1"/>
    <col min="14085" max="14085" width="29.46484375" customWidth="1"/>
    <col min="14086" max="14086" width="5.19921875" customWidth="1"/>
    <col min="14087" max="14087" width="5.33203125" customWidth="1"/>
    <col min="14088" max="14088" width="4.3984375" customWidth="1"/>
    <col min="14089" max="14089" width="6" customWidth="1"/>
    <col min="14090" max="14090" width="4.3984375" customWidth="1"/>
    <col min="14092" max="14092" width="11.59765625" customWidth="1"/>
    <col min="14093" max="14093" width="8.1328125" customWidth="1"/>
    <col min="14094" max="14094" width="10.796875" customWidth="1"/>
    <col min="14095" max="14095" width="6.3984375" customWidth="1"/>
    <col min="14096" max="14096" width="9.73046875" customWidth="1"/>
    <col min="14097" max="14097" width="8.9296875" customWidth="1"/>
    <col min="14101" max="14101" width="7.06640625" customWidth="1"/>
    <col min="14340" max="14340" width="9.73046875" customWidth="1"/>
    <col min="14341" max="14341" width="29.46484375" customWidth="1"/>
    <col min="14342" max="14342" width="5.19921875" customWidth="1"/>
    <col min="14343" max="14343" width="5.33203125" customWidth="1"/>
    <col min="14344" max="14344" width="4.3984375" customWidth="1"/>
    <col min="14345" max="14345" width="6" customWidth="1"/>
    <col min="14346" max="14346" width="4.3984375" customWidth="1"/>
    <col min="14348" max="14348" width="11.59765625" customWidth="1"/>
    <col min="14349" max="14349" width="8.1328125" customWidth="1"/>
    <col min="14350" max="14350" width="10.796875" customWidth="1"/>
    <col min="14351" max="14351" width="6.3984375" customWidth="1"/>
    <col min="14352" max="14352" width="9.73046875" customWidth="1"/>
    <col min="14353" max="14353" width="8.9296875" customWidth="1"/>
    <col min="14357" max="14357" width="7.06640625" customWidth="1"/>
    <col min="14596" max="14596" width="9.73046875" customWidth="1"/>
    <col min="14597" max="14597" width="29.46484375" customWidth="1"/>
    <col min="14598" max="14598" width="5.19921875" customWidth="1"/>
    <col min="14599" max="14599" width="5.33203125" customWidth="1"/>
    <col min="14600" max="14600" width="4.3984375" customWidth="1"/>
    <col min="14601" max="14601" width="6" customWidth="1"/>
    <col min="14602" max="14602" width="4.3984375" customWidth="1"/>
    <col min="14604" max="14604" width="11.59765625" customWidth="1"/>
    <col min="14605" max="14605" width="8.1328125" customWidth="1"/>
    <col min="14606" max="14606" width="10.796875" customWidth="1"/>
    <col min="14607" max="14607" width="6.3984375" customWidth="1"/>
    <col min="14608" max="14608" width="9.73046875" customWidth="1"/>
    <col min="14609" max="14609" width="8.9296875" customWidth="1"/>
    <col min="14613" max="14613" width="7.06640625" customWidth="1"/>
    <col min="14852" max="14852" width="9.73046875" customWidth="1"/>
    <col min="14853" max="14853" width="29.46484375" customWidth="1"/>
    <col min="14854" max="14854" width="5.19921875" customWidth="1"/>
    <col min="14855" max="14855" width="5.33203125" customWidth="1"/>
    <col min="14856" max="14856" width="4.3984375" customWidth="1"/>
    <col min="14857" max="14857" width="6" customWidth="1"/>
    <col min="14858" max="14858" width="4.3984375" customWidth="1"/>
    <col min="14860" max="14860" width="11.59765625" customWidth="1"/>
    <col min="14861" max="14861" width="8.1328125" customWidth="1"/>
    <col min="14862" max="14862" width="10.796875" customWidth="1"/>
    <col min="14863" max="14863" width="6.3984375" customWidth="1"/>
    <col min="14864" max="14864" width="9.73046875" customWidth="1"/>
    <col min="14865" max="14865" width="8.9296875" customWidth="1"/>
    <col min="14869" max="14869" width="7.06640625" customWidth="1"/>
    <col min="15108" max="15108" width="9.73046875" customWidth="1"/>
    <col min="15109" max="15109" width="29.46484375" customWidth="1"/>
    <col min="15110" max="15110" width="5.19921875" customWidth="1"/>
    <col min="15111" max="15111" width="5.33203125" customWidth="1"/>
    <col min="15112" max="15112" width="4.3984375" customWidth="1"/>
    <col min="15113" max="15113" width="6" customWidth="1"/>
    <col min="15114" max="15114" width="4.3984375" customWidth="1"/>
    <col min="15116" max="15116" width="11.59765625" customWidth="1"/>
    <col min="15117" max="15117" width="8.1328125" customWidth="1"/>
    <col min="15118" max="15118" width="10.796875" customWidth="1"/>
    <col min="15119" max="15119" width="6.3984375" customWidth="1"/>
    <col min="15120" max="15120" width="9.73046875" customWidth="1"/>
    <col min="15121" max="15121" width="8.9296875" customWidth="1"/>
    <col min="15125" max="15125" width="7.06640625" customWidth="1"/>
    <col min="15364" max="15364" width="9.73046875" customWidth="1"/>
    <col min="15365" max="15365" width="29.46484375" customWidth="1"/>
    <col min="15366" max="15366" width="5.19921875" customWidth="1"/>
    <col min="15367" max="15367" width="5.33203125" customWidth="1"/>
    <col min="15368" max="15368" width="4.3984375" customWidth="1"/>
    <col min="15369" max="15369" width="6" customWidth="1"/>
    <col min="15370" max="15370" width="4.3984375" customWidth="1"/>
    <col min="15372" max="15372" width="11.59765625" customWidth="1"/>
    <col min="15373" max="15373" width="8.1328125" customWidth="1"/>
    <col min="15374" max="15374" width="10.796875" customWidth="1"/>
    <col min="15375" max="15375" width="6.3984375" customWidth="1"/>
    <col min="15376" max="15376" width="9.73046875" customWidth="1"/>
    <col min="15377" max="15377" width="8.9296875" customWidth="1"/>
    <col min="15381" max="15381" width="7.06640625" customWidth="1"/>
    <col min="15620" max="15620" width="9.73046875" customWidth="1"/>
    <col min="15621" max="15621" width="29.46484375" customWidth="1"/>
    <col min="15622" max="15622" width="5.19921875" customWidth="1"/>
    <col min="15623" max="15623" width="5.33203125" customWidth="1"/>
    <col min="15624" max="15624" width="4.3984375" customWidth="1"/>
    <col min="15625" max="15625" width="6" customWidth="1"/>
    <col min="15626" max="15626" width="4.3984375" customWidth="1"/>
    <col min="15628" max="15628" width="11.59765625" customWidth="1"/>
    <col min="15629" max="15629" width="8.1328125" customWidth="1"/>
    <col min="15630" max="15630" width="10.796875" customWidth="1"/>
    <col min="15631" max="15631" width="6.3984375" customWidth="1"/>
    <col min="15632" max="15632" width="9.73046875" customWidth="1"/>
    <col min="15633" max="15633" width="8.9296875" customWidth="1"/>
    <col min="15637" max="15637" width="7.06640625" customWidth="1"/>
    <col min="15876" max="15876" width="9.73046875" customWidth="1"/>
    <col min="15877" max="15877" width="29.46484375" customWidth="1"/>
    <col min="15878" max="15878" width="5.19921875" customWidth="1"/>
    <col min="15879" max="15879" width="5.33203125" customWidth="1"/>
    <col min="15880" max="15880" width="4.3984375" customWidth="1"/>
    <col min="15881" max="15881" width="6" customWidth="1"/>
    <col min="15882" max="15882" width="4.3984375" customWidth="1"/>
    <col min="15884" max="15884" width="11.59765625" customWidth="1"/>
    <col min="15885" max="15885" width="8.1328125" customWidth="1"/>
    <col min="15886" max="15886" width="10.796875" customWidth="1"/>
    <col min="15887" max="15887" width="6.3984375" customWidth="1"/>
    <col min="15888" max="15888" width="9.73046875" customWidth="1"/>
    <col min="15889" max="15889" width="8.9296875" customWidth="1"/>
    <col min="15893" max="15893" width="7.06640625" customWidth="1"/>
    <col min="16132" max="16132" width="9.73046875" customWidth="1"/>
    <col min="16133" max="16133" width="29.46484375" customWidth="1"/>
    <col min="16134" max="16134" width="5.19921875" customWidth="1"/>
    <col min="16135" max="16135" width="5.33203125" customWidth="1"/>
    <col min="16136" max="16136" width="4.3984375" customWidth="1"/>
    <col min="16137" max="16137" width="6" customWidth="1"/>
    <col min="16138" max="16138" width="4.3984375" customWidth="1"/>
    <col min="16140" max="16140" width="11.59765625" customWidth="1"/>
    <col min="16141" max="16141" width="8.1328125" customWidth="1"/>
    <col min="16142" max="16142" width="10.796875" customWidth="1"/>
    <col min="16143" max="16143" width="6.3984375" customWidth="1"/>
    <col min="16144" max="16144" width="9.73046875" customWidth="1"/>
    <col min="16145" max="16145" width="8.9296875" customWidth="1"/>
    <col min="16149" max="16149" width="7.06640625" customWidth="1"/>
  </cols>
  <sheetData>
    <row r="1" spans="1:26" ht="30.7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6" ht="14.25" thickBot="1" x14ac:dyDescent="0.45"/>
    <row r="3" spans="1:26" ht="15.75" customHeight="1" thickTop="1" x14ac:dyDescent="0.4">
      <c r="A3" s="4" t="s">
        <v>1</v>
      </c>
      <c r="B3" s="5" t="s">
        <v>2</v>
      </c>
      <c r="C3" s="40" t="s">
        <v>8</v>
      </c>
      <c r="D3" s="42" t="s">
        <v>9</v>
      </c>
      <c r="E3" s="42" t="s">
        <v>10</v>
      </c>
      <c r="F3" s="42" t="s">
        <v>91</v>
      </c>
      <c r="G3" s="47" t="s">
        <v>92</v>
      </c>
      <c r="H3" s="48" t="s">
        <v>93</v>
      </c>
      <c r="I3" s="49" t="s">
        <v>94</v>
      </c>
      <c r="J3" s="49" t="s">
        <v>95</v>
      </c>
      <c r="K3" s="49" t="s">
        <v>96</v>
      </c>
      <c r="L3" s="49" t="s">
        <v>97</v>
      </c>
      <c r="M3" s="49" t="s">
        <v>98</v>
      </c>
      <c r="N3" s="49" t="s">
        <v>99</v>
      </c>
      <c r="O3" s="50" t="s">
        <v>100</v>
      </c>
      <c r="P3" s="51" t="s">
        <v>101</v>
      </c>
      <c r="Q3" s="52" t="s">
        <v>102</v>
      </c>
    </row>
    <row r="4" spans="1:26" ht="15.75" customHeight="1" x14ac:dyDescent="0.4">
      <c r="A4" s="9" t="s">
        <v>6</v>
      </c>
      <c r="B4" s="10" t="s">
        <v>7</v>
      </c>
      <c r="C4" s="41"/>
      <c r="D4" s="43"/>
      <c r="E4" s="43"/>
      <c r="F4" s="43"/>
      <c r="G4" s="53"/>
      <c r="H4" s="54"/>
      <c r="I4" s="55"/>
      <c r="J4" s="55"/>
      <c r="K4" s="55"/>
      <c r="L4" s="55"/>
      <c r="M4" s="55"/>
      <c r="N4" s="55"/>
      <c r="O4" s="56"/>
      <c r="P4" s="57"/>
      <c r="Q4" s="58"/>
    </row>
    <row r="5" spans="1:26" x14ac:dyDescent="0.4">
      <c r="A5" s="14" t="s">
        <v>18</v>
      </c>
      <c r="B5" s="15" t="s">
        <v>19</v>
      </c>
      <c r="C5" s="16">
        <v>2</v>
      </c>
      <c r="D5" s="16">
        <v>50</v>
      </c>
      <c r="E5" s="16">
        <v>25.5</v>
      </c>
      <c r="F5" s="16">
        <f>U5/C5</f>
        <v>0.09</v>
      </c>
      <c r="G5" s="17"/>
      <c r="H5" s="16"/>
      <c r="I5" s="16"/>
      <c r="J5" s="16"/>
      <c r="K5" s="16"/>
      <c r="L5" s="44"/>
      <c r="M5" s="44"/>
      <c r="N5" s="44"/>
      <c r="O5" s="44"/>
      <c r="P5" s="16"/>
      <c r="Q5" s="19"/>
      <c r="R5">
        <v>0.09</v>
      </c>
      <c r="U5">
        <f>R5*C5</f>
        <v>0.18</v>
      </c>
    </row>
    <row r="6" spans="1:26" x14ac:dyDescent="0.4">
      <c r="A6" s="14"/>
      <c r="B6" s="15" t="s">
        <v>22</v>
      </c>
      <c r="C6" s="16">
        <v>2</v>
      </c>
      <c r="D6" s="16">
        <v>50</v>
      </c>
      <c r="E6" s="16">
        <v>16.5</v>
      </c>
      <c r="F6" s="16">
        <f t="shared" ref="F6:F58" si="0">U6/C6</f>
        <v>0.09</v>
      </c>
      <c r="G6" s="17"/>
      <c r="H6" s="16"/>
      <c r="I6" s="16"/>
      <c r="J6" s="16"/>
      <c r="K6" s="16"/>
      <c r="L6" s="44"/>
      <c r="M6" s="44"/>
      <c r="N6" s="44"/>
      <c r="O6" s="44"/>
      <c r="P6" s="16"/>
      <c r="Q6" s="19"/>
      <c r="R6">
        <v>0.09</v>
      </c>
      <c r="U6">
        <f t="shared" ref="U6:U21" si="1">R6*C6</f>
        <v>0.18</v>
      </c>
    </row>
    <row r="7" spans="1:26" x14ac:dyDescent="0.4">
      <c r="A7" s="14"/>
      <c r="B7" s="15" t="s">
        <v>23</v>
      </c>
      <c r="C7" s="16">
        <v>2</v>
      </c>
      <c r="D7" s="16">
        <v>50</v>
      </c>
      <c r="E7" s="16">
        <v>17</v>
      </c>
      <c r="F7" s="16">
        <f t="shared" si="0"/>
        <v>0.09</v>
      </c>
      <c r="G7" s="17"/>
      <c r="H7" s="16"/>
      <c r="I7" s="16"/>
      <c r="J7" s="16"/>
      <c r="K7" s="16"/>
      <c r="L7" s="44"/>
      <c r="M7" s="44"/>
      <c r="N7" s="44"/>
      <c r="O7" s="44"/>
      <c r="P7" s="16"/>
      <c r="Q7" s="19"/>
      <c r="R7">
        <v>0.09</v>
      </c>
      <c r="U7">
        <f t="shared" si="1"/>
        <v>0.18</v>
      </c>
    </row>
    <row r="8" spans="1:26" x14ac:dyDescent="0.4">
      <c r="A8" s="14"/>
      <c r="B8" s="15" t="s">
        <v>24</v>
      </c>
      <c r="C8" s="16">
        <v>2</v>
      </c>
      <c r="D8" s="16">
        <v>50</v>
      </c>
      <c r="E8" s="16">
        <v>20.5</v>
      </c>
      <c r="F8" s="16">
        <f t="shared" si="0"/>
        <v>0.09</v>
      </c>
      <c r="G8" s="17"/>
      <c r="H8" s="16"/>
      <c r="I8" s="16"/>
      <c r="J8" s="16"/>
      <c r="K8" s="16"/>
      <c r="L8" s="44"/>
      <c r="M8" s="44"/>
      <c r="N8" s="44"/>
      <c r="O8" s="44"/>
      <c r="P8" s="16"/>
      <c r="Q8" s="19"/>
      <c r="R8">
        <v>0.09</v>
      </c>
      <c r="U8">
        <f t="shared" si="1"/>
        <v>0.18</v>
      </c>
    </row>
    <row r="9" spans="1:26" x14ac:dyDescent="0.4">
      <c r="A9" s="14"/>
      <c r="B9" s="15" t="s">
        <v>25</v>
      </c>
      <c r="C9" s="16">
        <v>2</v>
      </c>
      <c r="D9" s="16">
        <v>50</v>
      </c>
      <c r="E9" s="16">
        <v>21</v>
      </c>
      <c r="F9" s="16">
        <f t="shared" si="0"/>
        <v>0.09</v>
      </c>
      <c r="G9" s="17"/>
      <c r="H9" s="16"/>
      <c r="I9" s="16"/>
      <c r="J9" s="16"/>
      <c r="K9" s="16"/>
      <c r="L9" s="44"/>
      <c r="M9" s="44"/>
      <c r="N9" s="44"/>
      <c r="O9" s="44"/>
      <c r="P9" s="16"/>
      <c r="Q9" s="19"/>
      <c r="R9">
        <v>0.09</v>
      </c>
      <c r="U9">
        <f t="shared" si="1"/>
        <v>0.18</v>
      </c>
    </row>
    <row r="10" spans="1:26" x14ac:dyDescent="0.4">
      <c r="A10" s="14"/>
      <c r="B10" s="15" t="s">
        <v>26</v>
      </c>
      <c r="C10" s="16">
        <v>2</v>
      </c>
      <c r="D10" s="16">
        <v>80</v>
      </c>
      <c r="E10" s="16">
        <v>7</v>
      </c>
      <c r="F10" s="16">
        <f t="shared" si="0"/>
        <v>0.14000000000000001</v>
      </c>
      <c r="G10" s="17"/>
      <c r="H10" s="16"/>
      <c r="I10" s="16"/>
      <c r="J10" s="16"/>
      <c r="K10" s="16"/>
      <c r="L10" s="44"/>
      <c r="M10" s="44"/>
      <c r="N10" s="44"/>
      <c r="O10" s="44"/>
      <c r="P10" s="16"/>
      <c r="Q10" s="19"/>
      <c r="R10">
        <v>0.14000000000000001</v>
      </c>
      <c r="U10">
        <f t="shared" si="1"/>
        <v>0.28000000000000003</v>
      </c>
    </row>
    <row r="11" spans="1:26" x14ac:dyDescent="0.4">
      <c r="A11" s="14"/>
      <c r="B11" s="15" t="s">
        <v>27</v>
      </c>
      <c r="C11" s="16">
        <v>2</v>
      </c>
      <c r="D11" s="16">
        <v>80</v>
      </c>
      <c r="E11" s="16">
        <v>8.5</v>
      </c>
      <c r="F11" s="16">
        <f t="shared" si="0"/>
        <v>0.14000000000000001</v>
      </c>
      <c r="G11" s="17"/>
      <c r="H11" s="16"/>
      <c r="I11" s="16"/>
      <c r="J11" s="16"/>
      <c r="K11" s="16"/>
      <c r="L11" s="44"/>
      <c r="M11" s="44"/>
      <c r="N11" s="44"/>
      <c r="O11" s="44"/>
      <c r="P11" s="16"/>
      <c r="Q11" s="19"/>
      <c r="R11">
        <v>0.14000000000000001</v>
      </c>
      <c r="U11">
        <f t="shared" si="1"/>
        <v>0.28000000000000003</v>
      </c>
    </row>
    <row r="12" spans="1:26" x14ac:dyDescent="0.4">
      <c r="A12" s="14"/>
      <c r="B12" s="20" t="s">
        <v>28</v>
      </c>
      <c r="C12" s="16">
        <v>2</v>
      </c>
      <c r="D12" s="16">
        <v>80</v>
      </c>
      <c r="E12" s="16">
        <v>7.5</v>
      </c>
      <c r="F12" s="16">
        <f t="shared" si="0"/>
        <v>0.14000000000000001</v>
      </c>
      <c r="G12" s="17"/>
      <c r="H12" s="16"/>
      <c r="I12" s="16"/>
      <c r="J12" s="16"/>
      <c r="K12" s="16"/>
      <c r="L12" s="44"/>
      <c r="M12" s="44"/>
      <c r="N12" s="44"/>
      <c r="O12" s="44"/>
      <c r="P12" s="16"/>
      <c r="Q12" s="19"/>
      <c r="R12">
        <v>0.14000000000000001</v>
      </c>
      <c r="U12">
        <f t="shared" si="1"/>
        <v>0.28000000000000003</v>
      </c>
      <c r="Z12" t="s">
        <v>29</v>
      </c>
    </row>
    <row r="13" spans="1:26" x14ac:dyDescent="0.4">
      <c r="A13" s="14"/>
      <c r="B13" s="15" t="s">
        <v>30</v>
      </c>
      <c r="C13" s="16">
        <v>2</v>
      </c>
      <c r="D13" s="16">
        <v>40</v>
      </c>
      <c r="E13" s="16">
        <v>23</v>
      </c>
      <c r="F13" s="16">
        <f t="shared" si="0"/>
        <v>0.1</v>
      </c>
      <c r="G13" s="17"/>
      <c r="H13" s="16"/>
      <c r="I13" s="16"/>
      <c r="J13" s="16"/>
      <c r="K13" s="16"/>
      <c r="L13" s="44"/>
      <c r="M13" s="44"/>
      <c r="N13" s="44"/>
      <c r="O13" s="44"/>
      <c r="P13" s="16"/>
      <c r="Q13" s="19"/>
      <c r="R13">
        <v>0.1</v>
      </c>
      <c r="U13">
        <f t="shared" si="1"/>
        <v>0.2</v>
      </c>
    </row>
    <row r="14" spans="1:26" x14ac:dyDescent="0.4">
      <c r="A14" s="14"/>
      <c r="B14" s="15" t="s">
        <v>31</v>
      </c>
      <c r="C14" s="16">
        <v>1</v>
      </c>
      <c r="D14" s="16">
        <v>30</v>
      </c>
      <c r="E14" s="16">
        <v>25.5</v>
      </c>
      <c r="F14" s="16">
        <f t="shared" si="0"/>
        <v>0.09</v>
      </c>
      <c r="G14" s="17"/>
      <c r="H14" s="16"/>
      <c r="I14" s="16"/>
      <c r="J14" s="16"/>
      <c r="K14" s="16"/>
      <c r="L14" s="44"/>
      <c r="M14" s="44"/>
      <c r="N14" s="44"/>
      <c r="O14" s="44"/>
      <c r="P14" s="16"/>
      <c r="Q14" s="19"/>
      <c r="R14">
        <v>0.09</v>
      </c>
      <c r="U14">
        <f t="shared" si="1"/>
        <v>0.09</v>
      </c>
    </row>
    <row r="15" spans="1:26" x14ac:dyDescent="0.4">
      <c r="A15" s="14"/>
      <c r="B15" s="15" t="s">
        <v>32</v>
      </c>
      <c r="C15" s="16">
        <v>1</v>
      </c>
      <c r="D15" s="16">
        <v>30</v>
      </c>
      <c r="E15" s="16">
        <v>23.5</v>
      </c>
      <c r="F15" s="16">
        <f t="shared" si="0"/>
        <v>0.08</v>
      </c>
      <c r="G15" s="17"/>
      <c r="H15" s="16"/>
      <c r="I15" s="16"/>
      <c r="J15" s="16"/>
      <c r="K15" s="16"/>
      <c r="L15" s="44"/>
      <c r="M15" s="44"/>
      <c r="N15" s="44"/>
      <c r="O15" s="44"/>
      <c r="P15" s="16"/>
      <c r="Q15" s="19"/>
      <c r="R15">
        <v>0.08</v>
      </c>
      <c r="U15">
        <f t="shared" si="1"/>
        <v>0.08</v>
      </c>
    </row>
    <row r="16" spans="1:26" x14ac:dyDescent="0.4">
      <c r="A16" s="14"/>
      <c r="B16" s="15" t="s">
        <v>33</v>
      </c>
      <c r="C16" s="16">
        <v>1</v>
      </c>
      <c r="D16" s="16">
        <v>15</v>
      </c>
      <c r="E16" s="16">
        <v>67</v>
      </c>
      <c r="F16" s="16">
        <f t="shared" si="0"/>
        <v>0.1</v>
      </c>
      <c r="G16" s="17"/>
      <c r="H16" s="16"/>
      <c r="I16" s="16"/>
      <c r="J16" s="16"/>
      <c r="K16" s="16"/>
      <c r="L16" s="44"/>
      <c r="M16" s="44"/>
      <c r="N16" s="44"/>
      <c r="O16" s="44"/>
      <c r="P16" s="16"/>
      <c r="Q16" s="19"/>
      <c r="R16">
        <v>0.1</v>
      </c>
      <c r="U16">
        <f t="shared" si="1"/>
        <v>0.1</v>
      </c>
    </row>
    <row r="17" spans="1:21" x14ac:dyDescent="0.4">
      <c r="A17" s="14"/>
      <c r="B17" s="15" t="s">
        <v>34</v>
      </c>
      <c r="C17" s="16">
        <v>1</v>
      </c>
      <c r="D17" s="16">
        <v>1000</v>
      </c>
      <c r="E17" s="16">
        <v>1.25</v>
      </c>
      <c r="F17" s="16">
        <f t="shared" si="0"/>
        <v>0.1</v>
      </c>
      <c r="G17" s="17"/>
      <c r="H17" s="16"/>
      <c r="I17" s="16"/>
      <c r="J17" s="16"/>
      <c r="K17" s="16"/>
      <c r="L17" s="44"/>
      <c r="M17" s="44"/>
      <c r="N17" s="44"/>
      <c r="O17" s="44"/>
      <c r="P17" s="16"/>
      <c r="Q17" s="19"/>
      <c r="R17">
        <v>0.1</v>
      </c>
      <c r="U17">
        <f t="shared" si="1"/>
        <v>0.1</v>
      </c>
    </row>
    <row r="18" spans="1:21" x14ac:dyDescent="0.4">
      <c r="A18" s="14"/>
      <c r="B18" s="15" t="s">
        <v>35</v>
      </c>
      <c r="C18" s="16">
        <v>1</v>
      </c>
      <c r="D18" s="16">
        <v>20</v>
      </c>
      <c r="E18" s="16">
        <v>36</v>
      </c>
      <c r="F18" s="16">
        <f t="shared" si="0"/>
        <v>0.1</v>
      </c>
      <c r="G18" s="17"/>
      <c r="H18" s="16"/>
      <c r="I18" s="16"/>
      <c r="J18" s="16"/>
      <c r="K18" s="16"/>
      <c r="L18" s="44"/>
      <c r="M18" s="44"/>
      <c r="N18" s="44"/>
      <c r="O18" s="44"/>
      <c r="P18" s="16"/>
      <c r="Q18" s="19"/>
      <c r="R18">
        <v>0.1</v>
      </c>
      <c r="U18">
        <f t="shared" si="1"/>
        <v>0.1</v>
      </c>
    </row>
    <row r="19" spans="1:21" x14ac:dyDescent="0.4">
      <c r="A19" s="14"/>
      <c r="B19" s="15" t="s">
        <v>36</v>
      </c>
      <c r="C19" s="16">
        <v>1</v>
      </c>
      <c r="D19" s="16">
        <v>30</v>
      </c>
      <c r="E19" s="16">
        <v>22</v>
      </c>
      <c r="F19" s="16">
        <f t="shared" si="0"/>
        <v>0.06</v>
      </c>
      <c r="G19" s="17"/>
      <c r="H19" s="16"/>
      <c r="I19" s="16"/>
      <c r="J19" s="16"/>
      <c r="K19" s="16"/>
      <c r="L19" s="44"/>
      <c r="M19" s="44"/>
      <c r="N19" s="44"/>
      <c r="O19" s="44"/>
      <c r="P19" s="16"/>
      <c r="Q19" s="19"/>
      <c r="R19">
        <v>0.06</v>
      </c>
      <c r="U19">
        <f t="shared" si="1"/>
        <v>0.06</v>
      </c>
    </row>
    <row r="20" spans="1:21" x14ac:dyDescent="0.4">
      <c r="A20" s="14"/>
      <c r="B20" s="15" t="s">
        <v>37</v>
      </c>
      <c r="C20" s="16">
        <v>1</v>
      </c>
      <c r="D20" s="16">
        <v>30</v>
      </c>
      <c r="E20" s="16">
        <v>23</v>
      </c>
      <c r="F20" s="16">
        <f t="shared" si="0"/>
        <v>7.0000000000000007E-2</v>
      </c>
      <c r="G20" s="17"/>
      <c r="H20" s="16"/>
      <c r="I20" s="16"/>
      <c r="J20" s="16"/>
      <c r="K20" s="16"/>
      <c r="L20" s="44"/>
      <c r="M20" s="44"/>
      <c r="N20" s="44"/>
      <c r="O20" s="44"/>
      <c r="P20" s="16"/>
      <c r="Q20" s="19"/>
      <c r="R20">
        <v>7.0000000000000007E-2</v>
      </c>
      <c r="U20">
        <f t="shared" si="1"/>
        <v>7.0000000000000007E-2</v>
      </c>
    </row>
    <row r="21" spans="1:21" x14ac:dyDescent="0.4">
      <c r="A21" s="14"/>
      <c r="B21" s="15" t="s">
        <v>38</v>
      </c>
      <c r="C21" s="16">
        <v>1</v>
      </c>
      <c r="D21" s="16">
        <v>30</v>
      </c>
      <c r="E21" s="16">
        <v>25</v>
      </c>
      <c r="F21" s="16">
        <f t="shared" si="0"/>
        <v>0.09</v>
      </c>
      <c r="G21" s="17"/>
      <c r="H21" s="16"/>
      <c r="I21" s="16"/>
      <c r="J21" s="16"/>
      <c r="K21" s="16"/>
      <c r="L21" s="44"/>
      <c r="M21" s="44"/>
      <c r="N21" s="44"/>
      <c r="O21" s="44"/>
      <c r="P21" s="16"/>
      <c r="Q21" s="19"/>
      <c r="R21">
        <v>0.09</v>
      </c>
      <c r="U21">
        <f t="shared" si="1"/>
        <v>0.09</v>
      </c>
    </row>
    <row r="22" spans="1:21" x14ac:dyDescent="0.4">
      <c r="A22" s="14">
        <v>34145</v>
      </c>
      <c r="B22" s="15" t="s">
        <v>39</v>
      </c>
      <c r="C22" s="16">
        <v>2</v>
      </c>
      <c r="D22" s="16">
        <v>50</v>
      </c>
      <c r="E22" s="16">
        <v>30</v>
      </c>
      <c r="F22" s="16">
        <f t="shared" si="0"/>
        <v>0.12853500000000001</v>
      </c>
      <c r="G22" s="22"/>
      <c r="H22" s="16"/>
      <c r="I22" s="16"/>
      <c r="J22" s="16"/>
      <c r="K22" s="16"/>
      <c r="L22" s="44"/>
      <c r="M22" s="44"/>
      <c r="N22" s="44"/>
      <c r="O22" s="44"/>
      <c r="P22" s="16"/>
      <c r="Q22" s="19"/>
      <c r="R22">
        <v>57</v>
      </c>
      <c r="S22">
        <v>41</v>
      </c>
      <c r="T22">
        <v>55</v>
      </c>
      <c r="U22">
        <f t="shared" ref="U22:U29" si="2">R22*S22*T22*C22/1000000</f>
        <v>0.25707000000000002</v>
      </c>
    </row>
    <row r="23" spans="1:21" x14ac:dyDescent="0.4">
      <c r="A23" s="14"/>
      <c r="B23" s="15" t="s">
        <v>42</v>
      </c>
      <c r="C23" s="16">
        <v>1</v>
      </c>
      <c r="D23" s="16">
        <v>40</v>
      </c>
      <c r="E23" s="16">
        <v>11.4</v>
      </c>
      <c r="F23" s="16">
        <f t="shared" si="0"/>
        <v>0.12144000000000001</v>
      </c>
      <c r="G23" s="22"/>
      <c r="H23" s="16"/>
      <c r="I23" s="16"/>
      <c r="J23" s="16"/>
      <c r="K23" s="16"/>
      <c r="L23" s="44"/>
      <c r="M23" s="44"/>
      <c r="N23" s="44"/>
      <c r="O23" s="44"/>
      <c r="P23" s="16"/>
      <c r="Q23" s="19"/>
      <c r="R23">
        <v>69</v>
      </c>
      <c r="S23">
        <v>44</v>
      </c>
      <c r="T23">
        <v>40</v>
      </c>
      <c r="U23">
        <f t="shared" si="2"/>
        <v>0.12144000000000001</v>
      </c>
    </row>
    <row r="24" spans="1:21" x14ac:dyDescent="0.4">
      <c r="A24" s="14"/>
      <c r="B24" s="15" t="s">
        <v>43</v>
      </c>
      <c r="C24" s="16">
        <v>1</v>
      </c>
      <c r="D24" s="16">
        <v>60</v>
      </c>
      <c r="E24" s="16">
        <v>10.8</v>
      </c>
      <c r="F24" s="16">
        <f t="shared" si="0"/>
        <v>0.14399999999999999</v>
      </c>
      <c r="G24" s="22"/>
      <c r="H24" s="16"/>
      <c r="I24" s="16"/>
      <c r="J24" s="16"/>
      <c r="K24" s="16"/>
      <c r="L24" s="44"/>
      <c r="M24" s="44"/>
      <c r="N24" s="44"/>
      <c r="O24" s="44"/>
      <c r="P24" s="16"/>
      <c r="Q24" s="19"/>
      <c r="R24">
        <v>72</v>
      </c>
      <c r="S24">
        <v>40</v>
      </c>
      <c r="T24">
        <v>50</v>
      </c>
      <c r="U24">
        <f t="shared" si="2"/>
        <v>0.14399999999999999</v>
      </c>
    </row>
    <row r="25" spans="1:21" x14ac:dyDescent="0.4">
      <c r="A25" s="14"/>
      <c r="B25" s="15" t="s">
        <v>44</v>
      </c>
      <c r="C25" s="16">
        <v>1</v>
      </c>
      <c r="D25" s="16">
        <v>300</v>
      </c>
      <c r="E25" s="16">
        <v>1.3</v>
      </c>
      <c r="F25" s="16">
        <f t="shared" si="0"/>
        <v>0.1152</v>
      </c>
      <c r="G25" s="17"/>
      <c r="H25" s="16"/>
      <c r="I25" s="16"/>
      <c r="J25" s="16"/>
      <c r="K25" s="16"/>
      <c r="L25" s="44"/>
      <c r="M25" s="44"/>
      <c r="N25" s="44"/>
      <c r="O25" s="44"/>
      <c r="P25" s="16"/>
      <c r="Q25" s="19"/>
      <c r="R25">
        <v>64</v>
      </c>
      <c r="S25">
        <v>45</v>
      </c>
      <c r="T25">
        <v>40</v>
      </c>
      <c r="U25">
        <f t="shared" si="2"/>
        <v>0.1152</v>
      </c>
    </row>
    <row r="26" spans="1:21" x14ac:dyDescent="0.4">
      <c r="A26" s="14"/>
      <c r="B26" s="15" t="s">
        <v>45</v>
      </c>
      <c r="C26" s="16">
        <v>2</v>
      </c>
      <c r="D26" s="16">
        <v>40</v>
      </c>
      <c r="E26" s="16">
        <v>7</v>
      </c>
      <c r="F26" s="16">
        <f t="shared" si="0"/>
        <v>0.10319399999999999</v>
      </c>
      <c r="G26" s="22"/>
      <c r="H26" s="16"/>
      <c r="I26" s="16"/>
      <c r="J26" s="16"/>
      <c r="K26" s="16"/>
      <c r="L26" s="44"/>
      <c r="M26" s="44"/>
      <c r="N26" s="44"/>
      <c r="O26" s="44"/>
      <c r="P26" s="16"/>
      <c r="Q26" s="19"/>
      <c r="R26">
        <v>63</v>
      </c>
      <c r="S26">
        <v>42</v>
      </c>
      <c r="T26">
        <v>39</v>
      </c>
      <c r="U26">
        <f t="shared" si="2"/>
        <v>0.20638799999999999</v>
      </c>
    </row>
    <row r="27" spans="1:21" x14ac:dyDescent="0.4">
      <c r="A27" s="14"/>
      <c r="B27" s="15" t="s">
        <v>46</v>
      </c>
      <c r="C27" s="16">
        <v>2</v>
      </c>
      <c r="D27" s="16">
        <v>80</v>
      </c>
      <c r="E27" s="16">
        <v>5.4</v>
      </c>
      <c r="F27" s="16">
        <f t="shared" si="0"/>
        <v>8.5137000000000004E-2</v>
      </c>
      <c r="G27" s="22"/>
      <c r="H27" s="16"/>
      <c r="I27" s="16"/>
      <c r="J27" s="16"/>
      <c r="K27" s="16"/>
      <c r="L27" s="44"/>
      <c r="M27" s="44"/>
      <c r="N27" s="44"/>
      <c r="O27" s="44"/>
      <c r="P27" s="16"/>
      <c r="Q27" s="19"/>
      <c r="R27">
        <v>59</v>
      </c>
      <c r="S27">
        <v>37</v>
      </c>
      <c r="T27">
        <v>39</v>
      </c>
      <c r="U27">
        <f t="shared" si="2"/>
        <v>0.17027400000000001</v>
      </c>
    </row>
    <row r="28" spans="1:21" x14ac:dyDescent="0.4">
      <c r="A28" s="14"/>
      <c r="B28" s="15" t="s">
        <v>43</v>
      </c>
      <c r="C28" s="16">
        <v>3</v>
      </c>
      <c r="D28" s="16">
        <v>40</v>
      </c>
      <c r="E28" s="16">
        <v>7</v>
      </c>
      <c r="F28" s="16">
        <f t="shared" si="0"/>
        <v>0.10319400000000001</v>
      </c>
      <c r="G28" s="22"/>
      <c r="H28" s="16"/>
      <c r="I28" s="16"/>
      <c r="J28" s="16"/>
      <c r="K28" s="16"/>
      <c r="L28" s="44"/>
      <c r="M28" s="44"/>
      <c r="N28" s="44"/>
      <c r="O28" s="44"/>
      <c r="P28" s="16"/>
      <c r="Q28" s="19"/>
      <c r="R28">
        <v>63</v>
      </c>
      <c r="S28">
        <v>42</v>
      </c>
      <c r="T28">
        <v>39</v>
      </c>
      <c r="U28">
        <f t="shared" si="2"/>
        <v>0.30958200000000002</v>
      </c>
    </row>
    <row r="29" spans="1:21" ht="14.25" thickBot="1" x14ac:dyDescent="0.45">
      <c r="A29" s="23"/>
      <c r="B29" s="24" t="s">
        <v>47</v>
      </c>
      <c r="C29" s="25">
        <v>2</v>
      </c>
      <c r="D29" s="25">
        <v>60</v>
      </c>
      <c r="E29" s="25">
        <v>7</v>
      </c>
      <c r="F29" s="16">
        <f t="shared" si="0"/>
        <v>0.12729599999999999</v>
      </c>
      <c r="G29" s="27"/>
      <c r="H29" s="25"/>
      <c r="I29" s="25"/>
      <c r="J29" s="25"/>
      <c r="K29" s="25"/>
      <c r="L29" s="45"/>
      <c r="M29" s="45"/>
      <c r="N29" s="45"/>
      <c r="O29" s="45"/>
      <c r="P29" s="25"/>
      <c r="Q29" s="29"/>
      <c r="R29">
        <v>68</v>
      </c>
      <c r="S29">
        <v>39</v>
      </c>
      <c r="T29">
        <v>48</v>
      </c>
      <c r="U29">
        <f t="shared" si="2"/>
        <v>0.25459199999999998</v>
      </c>
    </row>
    <row r="30" spans="1:21" ht="14.25" thickTop="1" x14ac:dyDescent="0.4">
      <c r="A30" s="14" t="s">
        <v>48</v>
      </c>
      <c r="B30" s="15" t="s">
        <v>49</v>
      </c>
      <c r="C30" s="16">
        <v>2</v>
      </c>
      <c r="D30" s="16">
        <v>24</v>
      </c>
      <c r="E30" s="16">
        <v>29</v>
      </c>
      <c r="F30" s="16">
        <f t="shared" si="0"/>
        <v>7.7219999999999997E-2</v>
      </c>
      <c r="G30" s="46"/>
      <c r="H30" s="44"/>
      <c r="I30" s="44"/>
      <c r="J30" s="44"/>
      <c r="K30" s="44"/>
      <c r="L30" s="44"/>
      <c r="M30" s="44"/>
      <c r="N30" s="44"/>
      <c r="O30" s="44"/>
      <c r="P30" s="16"/>
      <c r="Q30" s="19"/>
      <c r="R30">
        <v>59.4</v>
      </c>
      <c r="S30">
        <v>40</v>
      </c>
      <c r="T30">
        <v>32.5</v>
      </c>
      <c r="U30">
        <f t="shared" ref="U30:U47" si="3">R30*S30*T30*C30/1000000</f>
        <v>0.15443999999999999</v>
      </c>
    </row>
    <row r="31" spans="1:21" x14ac:dyDescent="0.4">
      <c r="A31" s="14"/>
      <c r="B31" s="15" t="s">
        <v>50</v>
      </c>
      <c r="C31" s="16">
        <v>2</v>
      </c>
      <c r="D31" s="16">
        <v>36</v>
      </c>
      <c r="E31" s="16">
        <v>23</v>
      </c>
      <c r="F31" s="16">
        <f t="shared" si="0"/>
        <v>9.0462960000000009E-2</v>
      </c>
      <c r="G31" s="46"/>
      <c r="H31" s="16"/>
      <c r="I31" s="16"/>
      <c r="J31" s="16"/>
      <c r="K31" s="16"/>
      <c r="L31" s="44"/>
      <c r="M31" s="44"/>
      <c r="N31" s="44"/>
      <c r="O31" s="44"/>
      <c r="P31" s="16"/>
      <c r="Q31" s="19"/>
      <c r="R31">
        <v>54</v>
      </c>
      <c r="S31">
        <v>43.4</v>
      </c>
      <c r="T31">
        <v>38.6</v>
      </c>
      <c r="U31">
        <f t="shared" si="3"/>
        <v>0.18092592000000002</v>
      </c>
    </row>
    <row r="32" spans="1:21" x14ac:dyDescent="0.4">
      <c r="A32" s="14"/>
      <c r="B32" s="15" t="s">
        <v>51</v>
      </c>
      <c r="C32" s="16">
        <v>2</v>
      </c>
      <c r="D32" s="16">
        <v>24</v>
      </c>
      <c r="E32" s="16">
        <v>36.5</v>
      </c>
      <c r="F32" s="16">
        <f t="shared" si="0"/>
        <v>7.2732000000000005E-2</v>
      </c>
      <c r="G32" s="17"/>
      <c r="H32" s="16"/>
      <c r="I32" s="16"/>
      <c r="J32" s="16"/>
      <c r="K32" s="16"/>
      <c r="L32" s="44"/>
      <c r="M32" s="44"/>
      <c r="N32" s="44"/>
      <c r="O32" s="44"/>
      <c r="P32" s="16"/>
      <c r="Q32" s="19"/>
      <c r="R32">
        <v>58</v>
      </c>
      <c r="S32">
        <v>33</v>
      </c>
      <c r="T32">
        <v>38</v>
      </c>
      <c r="U32">
        <f t="shared" si="3"/>
        <v>0.14546400000000001</v>
      </c>
    </row>
    <row r="33" spans="1:21" x14ac:dyDescent="0.4">
      <c r="A33" s="14"/>
      <c r="B33" s="15" t="s">
        <v>52</v>
      </c>
      <c r="C33" s="16">
        <v>2</v>
      </c>
      <c r="D33" s="16">
        <v>24</v>
      </c>
      <c r="E33" s="16">
        <v>32.5</v>
      </c>
      <c r="F33" s="16">
        <f t="shared" si="0"/>
        <v>6.5640000000000004E-2</v>
      </c>
      <c r="G33" s="17"/>
      <c r="H33" s="16"/>
      <c r="I33" s="16"/>
      <c r="J33" s="16"/>
      <c r="K33" s="16"/>
      <c r="L33" s="44"/>
      <c r="M33" s="44"/>
      <c r="N33" s="44"/>
      <c r="O33" s="44"/>
      <c r="P33" s="16"/>
      <c r="Q33" s="19"/>
      <c r="R33">
        <v>60</v>
      </c>
      <c r="S33">
        <v>20</v>
      </c>
      <c r="T33">
        <v>54.7</v>
      </c>
      <c r="U33">
        <f t="shared" si="3"/>
        <v>0.13128000000000001</v>
      </c>
    </row>
    <row r="34" spans="1:21" x14ac:dyDescent="0.4">
      <c r="A34" s="14"/>
      <c r="B34" s="15" t="s">
        <v>53</v>
      </c>
      <c r="C34" s="16">
        <v>2</v>
      </c>
      <c r="D34" s="16">
        <v>12</v>
      </c>
      <c r="E34" s="16">
        <v>39.5</v>
      </c>
      <c r="F34" s="16">
        <f t="shared" si="0"/>
        <v>8.0677871999999998E-2</v>
      </c>
      <c r="G34" s="17"/>
      <c r="H34" s="16"/>
      <c r="I34" s="16"/>
      <c r="J34" s="16"/>
      <c r="K34" s="16"/>
      <c r="L34" s="44"/>
      <c r="M34" s="44"/>
      <c r="N34" s="44"/>
      <c r="O34" s="44"/>
      <c r="P34" s="16"/>
      <c r="Q34" s="19"/>
      <c r="R34">
        <v>58.3</v>
      </c>
      <c r="S34">
        <v>55.8</v>
      </c>
      <c r="T34">
        <v>24.8</v>
      </c>
      <c r="U34">
        <f t="shared" si="3"/>
        <v>0.161355744</v>
      </c>
    </row>
    <row r="35" spans="1:21" x14ac:dyDescent="0.4">
      <c r="A35" s="14"/>
      <c r="B35" s="15" t="s">
        <v>54</v>
      </c>
      <c r="C35" s="16">
        <v>2</v>
      </c>
      <c r="D35" s="16">
        <v>24</v>
      </c>
      <c r="E35" s="16">
        <v>35</v>
      </c>
      <c r="F35" s="16">
        <f t="shared" si="0"/>
        <v>0.14213482499999999</v>
      </c>
      <c r="G35" s="17"/>
      <c r="H35" s="16"/>
      <c r="I35" s="16"/>
      <c r="J35" s="16"/>
      <c r="K35" s="16"/>
      <c r="L35" s="44"/>
      <c r="M35" s="44"/>
      <c r="N35" s="44"/>
      <c r="O35" s="44"/>
      <c r="P35" s="16"/>
      <c r="Q35" s="19"/>
      <c r="R35">
        <v>74.5</v>
      </c>
      <c r="S35">
        <v>55.3</v>
      </c>
      <c r="T35">
        <v>34.5</v>
      </c>
      <c r="U35">
        <f t="shared" si="3"/>
        <v>0.28426964999999998</v>
      </c>
    </row>
    <row r="36" spans="1:21" x14ac:dyDescent="0.4">
      <c r="A36" s="14"/>
      <c r="B36" s="15" t="s">
        <v>55</v>
      </c>
      <c r="C36" s="16">
        <v>2</v>
      </c>
      <c r="D36" s="16">
        <v>24</v>
      </c>
      <c r="E36" s="16">
        <v>32.5</v>
      </c>
      <c r="F36" s="16">
        <f t="shared" si="0"/>
        <v>0.11947564999999997</v>
      </c>
      <c r="G36" s="17"/>
      <c r="H36" s="16"/>
      <c r="I36" s="16"/>
      <c r="J36" s="16"/>
      <c r="K36" s="16"/>
      <c r="L36" s="44"/>
      <c r="M36" s="44"/>
      <c r="N36" s="44"/>
      <c r="O36" s="44"/>
      <c r="P36" s="16"/>
      <c r="Q36" s="19"/>
      <c r="R36">
        <v>74.5</v>
      </c>
      <c r="S36">
        <v>55.3</v>
      </c>
      <c r="T36">
        <v>29</v>
      </c>
      <c r="U36">
        <f t="shared" si="3"/>
        <v>0.23895129999999995</v>
      </c>
    </row>
    <row r="37" spans="1:21" x14ac:dyDescent="0.4">
      <c r="A37" s="14" t="s">
        <v>56</v>
      </c>
      <c r="B37" s="15" t="s">
        <v>57</v>
      </c>
      <c r="C37" s="16">
        <v>1</v>
      </c>
      <c r="D37" s="16">
        <v>48</v>
      </c>
      <c r="E37" s="16">
        <v>9.5</v>
      </c>
      <c r="F37" s="16">
        <f t="shared" si="0"/>
        <v>0.18449299999999999</v>
      </c>
      <c r="G37" s="17"/>
      <c r="H37" s="16"/>
      <c r="I37" s="16"/>
      <c r="J37" s="16"/>
      <c r="K37" s="16"/>
      <c r="L37" s="44"/>
      <c r="M37" s="44"/>
      <c r="N37" s="44"/>
      <c r="O37" s="44"/>
      <c r="P37" s="16"/>
      <c r="Q37" s="19"/>
      <c r="R37">
        <v>59</v>
      </c>
      <c r="S37">
        <v>53</v>
      </c>
      <c r="T37">
        <v>59</v>
      </c>
      <c r="U37">
        <f t="shared" si="3"/>
        <v>0.18449299999999999</v>
      </c>
    </row>
    <row r="38" spans="1:21" x14ac:dyDescent="0.4">
      <c r="A38" s="14"/>
      <c r="B38" s="15" t="s">
        <v>58</v>
      </c>
      <c r="C38" s="16">
        <v>3</v>
      </c>
      <c r="D38" s="16">
        <v>60</v>
      </c>
      <c r="E38" s="16">
        <v>4.2</v>
      </c>
      <c r="F38" s="16">
        <f t="shared" si="0"/>
        <v>9.1200000000000003E-2</v>
      </c>
      <c r="G38" s="17"/>
      <c r="H38" s="16"/>
      <c r="I38" s="16"/>
      <c r="J38" s="16"/>
      <c r="K38" s="16"/>
      <c r="L38" s="44"/>
      <c r="M38" s="44"/>
      <c r="N38" s="44"/>
      <c r="O38" s="44"/>
      <c r="P38" s="16"/>
      <c r="Q38" s="19"/>
      <c r="R38">
        <v>48</v>
      </c>
      <c r="S38">
        <v>38</v>
      </c>
      <c r="T38">
        <v>50</v>
      </c>
      <c r="U38">
        <f t="shared" si="3"/>
        <v>0.27360000000000001</v>
      </c>
    </row>
    <row r="39" spans="1:21" x14ac:dyDescent="0.4">
      <c r="A39" s="14"/>
      <c r="B39" s="15" t="s">
        <v>59</v>
      </c>
      <c r="C39" s="16">
        <v>3</v>
      </c>
      <c r="D39" s="16">
        <v>80</v>
      </c>
      <c r="E39" s="16">
        <v>5.8</v>
      </c>
      <c r="F39" s="16">
        <f t="shared" si="0"/>
        <v>0.11067</v>
      </c>
      <c r="G39" s="17"/>
      <c r="H39" s="16"/>
      <c r="I39" s="16"/>
      <c r="J39" s="16"/>
      <c r="K39" s="16"/>
      <c r="L39" s="44"/>
      <c r="M39" s="44"/>
      <c r="N39" s="44"/>
      <c r="O39" s="44"/>
      <c r="P39" s="16"/>
      <c r="Q39" s="19"/>
      <c r="R39">
        <v>62</v>
      </c>
      <c r="S39">
        <v>35</v>
      </c>
      <c r="T39">
        <v>51</v>
      </c>
      <c r="U39">
        <f t="shared" si="3"/>
        <v>0.33201000000000003</v>
      </c>
    </row>
    <row r="40" spans="1:21" x14ac:dyDescent="0.4">
      <c r="A40" s="14"/>
      <c r="B40" s="15" t="s">
        <v>60</v>
      </c>
      <c r="C40" s="16">
        <v>3</v>
      </c>
      <c r="D40" s="16">
        <v>80</v>
      </c>
      <c r="E40" s="16">
        <v>5.8</v>
      </c>
      <c r="F40" s="16">
        <f t="shared" si="0"/>
        <v>0.10289999999999999</v>
      </c>
      <c r="G40" s="17"/>
      <c r="H40" s="16"/>
      <c r="I40" s="16"/>
      <c r="J40" s="16"/>
      <c r="K40" s="16"/>
      <c r="L40" s="44"/>
      <c r="M40" s="44"/>
      <c r="N40" s="44"/>
      <c r="O40" s="44"/>
      <c r="P40" s="16"/>
      <c r="Q40" s="19"/>
      <c r="R40">
        <v>60</v>
      </c>
      <c r="S40">
        <v>35</v>
      </c>
      <c r="T40">
        <v>49</v>
      </c>
      <c r="U40">
        <f t="shared" si="3"/>
        <v>0.30869999999999997</v>
      </c>
    </row>
    <row r="41" spans="1:21" x14ac:dyDescent="0.4">
      <c r="A41" s="14"/>
      <c r="B41" s="15" t="s">
        <v>61</v>
      </c>
      <c r="C41" s="16">
        <v>1</v>
      </c>
      <c r="D41" s="16">
        <v>140</v>
      </c>
      <c r="E41" s="16">
        <v>2.5</v>
      </c>
      <c r="F41" s="16">
        <f t="shared" si="0"/>
        <v>0.13639999999999999</v>
      </c>
      <c r="G41" s="17"/>
      <c r="H41" s="16"/>
      <c r="I41" s="16"/>
      <c r="J41" s="16"/>
      <c r="K41" s="16"/>
      <c r="L41" s="44"/>
      <c r="M41" s="44"/>
      <c r="N41" s="44"/>
      <c r="O41" s="44"/>
      <c r="P41" s="16"/>
      <c r="Q41" s="19"/>
      <c r="R41">
        <v>55</v>
      </c>
      <c r="S41">
        <v>40</v>
      </c>
      <c r="T41">
        <v>62</v>
      </c>
      <c r="U41">
        <f t="shared" si="3"/>
        <v>0.13639999999999999</v>
      </c>
    </row>
    <row r="42" spans="1:21" x14ac:dyDescent="0.4">
      <c r="A42" s="14"/>
      <c r="B42" s="15" t="s">
        <v>62</v>
      </c>
      <c r="C42" s="16">
        <v>1</v>
      </c>
      <c r="D42" s="16">
        <v>160</v>
      </c>
      <c r="E42" s="16">
        <v>2.1</v>
      </c>
      <c r="F42" s="16">
        <f t="shared" si="0"/>
        <v>0.14024400000000001</v>
      </c>
      <c r="G42" s="17"/>
      <c r="H42" s="16"/>
      <c r="I42" s="16"/>
      <c r="J42" s="16"/>
      <c r="K42" s="16"/>
      <c r="L42" s="44"/>
      <c r="M42" s="44"/>
      <c r="N42" s="44"/>
      <c r="O42" s="44"/>
      <c r="P42" s="16"/>
      <c r="Q42" s="19"/>
      <c r="R42">
        <v>62</v>
      </c>
      <c r="S42">
        <v>39</v>
      </c>
      <c r="T42">
        <v>58</v>
      </c>
      <c r="U42">
        <f t="shared" si="3"/>
        <v>0.14024400000000001</v>
      </c>
    </row>
    <row r="43" spans="1:21" x14ac:dyDescent="0.4">
      <c r="A43" s="14" t="s">
        <v>63</v>
      </c>
      <c r="B43" s="15" t="s">
        <v>64</v>
      </c>
      <c r="C43" s="16">
        <v>5</v>
      </c>
      <c r="D43" s="16">
        <v>60</v>
      </c>
      <c r="E43" s="16">
        <v>10.8</v>
      </c>
      <c r="F43" s="16">
        <f t="shared" si="0"/>
        <v>0.142044</v>
      </c>
      <c r="G43" s="17"/>
      <c r="H43" s="16"/>
      <c r="I43" s="16"/>
      <c r="J43" s="16"/>
      <c r="K43" s="16"/>
      <c r="L43" s="44"/>
      <c r="M43" s="44"/>
      <c r="N43" s="44"/>
      <c r="O43" s="44"/>
      <c r="P43" s="16"/>
      <c r="Q43" s="19"/>
      <c r="R43">
        <v>56</v>
      </c>
      <c r="S43">
        <v>44.5</v>
      </c>
      <c r="T43">
        <v>57</v>
      </c>
      <c r="U43">
        <f t="shared" si="3"/>
        <v>0.71021999999999996</v>
      </c>
    </row>
    <row r="44" spans="1:21" x14ac:dyDescent="0.4">
      <c r="A44" s="14"/>
      <c r="B44" s="15" t="s">
        <v>65</v>
      </c>
      <c r="C44" s="16">
        <v>2</v>
      </c>
      <c r="D44" s="16">
        <v>60</v>
      </c>
      <c r="E44" s="16">
        <v>11.8</v>
      </c>
      <c r="F44" s="16">
        <f t="shared" si="0"/>
        <v>0.123525</v>
      </c>
      <c r="G44" s="17"/>
      <c r="H44" s="16"/>
      <c r="I44" s="16"/>
      <c r="J44" s="16"/>
      <c r="K44" s="16"/>
      <c r="L44" s="44"/>
      <c r="M44" s="44"/>
      <c r="N44" s="44"/>
      <c r="O44" s="44"/>
      <c r="P44" s="16"/>
      <c r="Q44" s="19"/>
      <c r="R44">
        <v>50</v>
      </c>
      <c r="S44">
        <v>40.5</v>
      </c>
      <c r="T44">
        <v>61</v>
      </c>
      <c r="U44">
        <f t="shared" si="3"/>
        <v>0.24704999999999999</v>
      </c>
    </row>
    <row r="45" spans="1:21" x14ac:dyDescent="0.4">
      <c r="A45" s="14"/>
      <c r="B45" s="15" t="s">
        <v>66</v>
      </c>
      <c r="C45" s="16">
        <v>2</v>
      </c>
      <c r="D45" s="16">
        <v>60</v>
      </c>
      <c r="E45" s="16">
        <v>6.9</v>
      </c>
      <c r="F45" s="16">
        <f t="shared" si="0"/>
        <v>8.9910000000000004E-2</v>
      </c>
      <c r="G45" s="17"/>
      <c r="H45" s="16"/>
      <c r="I45" s="16"/>
      <c r="J45" s="16"/>
      <c r="K45" s="16"/>
      <c r="L45" s="44"/>
      <c r="M45" s="44"/>
      <c r="N45" s="44"/>
      <c r="O45" s="44"/>
      <c r="P45" s="16"/>
      <c r="Q45" s="19"/>
      <c r="R45">
        <v>45</v>
      </c>
      <c r="S45">
        <v>37</v>
      </c>
      <c r="T45">
        <v>54</v>
      </c>
      <c r="U45">
        <f t="shared" si="3"/>
        <v>0.17982000000000001</v>
      </c>
    </row>
    <row r="46" spans="1:21" x14ac:dyDescent="0.4">
      <c r="A46" s="14"/>
      <c r="B46" s="15" t="s">
        <v>67</v>
      </c>
      <c r="C46" s="16">
        <v>2</v>
      </c>
      <c r="D46" s="16">
        <v>60</v>
      </c>
      <c r="E46" s="16">
        <v>8.8000000000000007</v>
      </c>
      <c r="F46" s="16">
        <f t="shared" si="0"/>
        <v>0.1269555</v>
      </c>
      <c r="G46" s="17"/>
      <c r="H46" s="16"/>
      <c r="I46" s="16"/>
      <c r="J46" s="16"/>
      <c r="K46" s="16"/>
      <c r="L46" s="44"/>
      <c r="M46" s="44"/>
      <c r="N46" s="44"/>
      <c r="O46" s="44"/>
      <c r="P46" s="16"/>
      <c r="Q46" s="19"/>
      <c r="R46">
        <v>56.5</v>
      </c>
      <c r="S46">
        <v>42</v>
      </c>
      <c r="T46">
        <v>53.5</v>
      </c>
      <c r="U46">
        <f t="shared" si="3"/>
        <v>0.253911</v>
      </c>
    </row>
    <row r="47" spans="1:21" x14ac:dyDescent="0.4">
      <c r="A47" s="14"/>
      <c r="B47" s="15" t="s">
        <v>68</v>
      </c>
      <c r="C47" s="16">
        <v>2</v>
      </c>
      <c r="D47" s="16">
        <v>60</v>
      </c>
      <c r="E47" s="16">
        <v>11.8</v>
      </c>
      <c r="F47" s="16">
        <f t="shared" si="0"/>
        <v>0.1421251</v>
      </c>
      <c r="G47" s="17"/>
      <c r="H47" s="16"/>
      <c r="I47" s="16"/>
      <c r="J47" s="16"/>
      <c r="K47" s="16"/>
      <c r="L47" s="44"/>
      <c r="M47" s="44"/>
      <c r="N47" s="44"/>
      <c r="O47" s="44"/>
      <c r="P47" s="16"/>
      <c r="Q47" s="19"/>
      <c r="R47">
        <v>54.5</v>
      </c>
      <c r="S47">
        <v>44.2</v>
      </c>
      <c r="T47">
        <v>59</v>
      </c>
      <c r="U47">
        <f t="shared" si="3"/>
        <v>0.28425020000000001</v>
      </c>
    </row>
    <row r="48" spans="1:21" x14ac:dyDescent="0.4">
      <c r="A48" s="14" t="s">
        <v>69</v>
      </c>
      <c r="B48" s="15" t="s">
        <v>70</v>
      </c>
      <c r="C48" s="16">
        <v>1</v>
      </c>
      <c r="D48" s="16">
        <v>20</v>
      </c>
      <c r="E48" s="16">
        <v>28.8</v>
      </c>
      <c r="F48" s="16">
        <f t="shared" si="0"/>
        <v>0.11956</v>
      </c>
      <c r="G48" s="17"/>
      <c r="H48" s="16"/>
      <c r="I48" s="16"/>
      <c r="J48" s="16"/>
      <c r="K48" s="16"/>
      <c r="L48" s="44"/>
      <c r="M48" s="44"/>
      <c r="N48" s="44"/>
      <c r="O48" s="44"/>
      <c r="P48" s="16"/>
      <c r="Q48" s="19"/>
      <c r="R48">
        <v>70</v>
      </c>
      <c r="S48">
        <v>56</v>
      </c>
      <c r="T48">
        <v>30.5</v>
      </c>
      <c r="U48">
        <f t="shared" ref="U48:U55" si="4">C48*R48*S48*T48/1000000</f>
        <v>0.11956</v>
      </c>
    </row>
    <row r="49" spans="1:21" x14ac:dyDescent="0.4">
      <c r="A49" s="14"/>
      <c r="B49" s="15" t="s">
        <v>71</v>
      </c>
      <c r="C49" s="16">
        <v>1</v>
      </c>
      <c r="D49" s="16">
        <v>50</v>
      </c>
      <c r="E49" s="16">
        <v>19.8</v>
      </c>
      <c r="F49" s="16">
        <f t="shared" si="0"/>
        <v>8.9121875000000003E-2</v>
      </c>
      <c r="G49" s="17"/>
      <c r="H49" s="16"/>
      <c r="I49" s="16"/>
      <c r="J49" s="16"/>
      <c r="K49" s="16"/>
      <c r="L49" s="44"/>
      <c r="M49" s="44"/>
      <c r="N49" s="44"/>
      <c r="O49" s="44"/>
      <c r="P49" s="16"/>
      <c r="Q49" s="19"/>
      <c r="R49">
        <v>47.5</v>
      </c>
      <c r="S49">
        <v>47.5</v>
      </c>
      <c r="T49">
        <v>39.5</v>
      </c>
      <c r="U49">
        <f t="shared" si="4"/>
        <v>8.9121875000000003E-2</v>
      </c>
    </row>
    <row r="50" spans="1:21" x14ac:dyDescent="0.4">
      <c r="A50" s="14"/>
      <c r="B50" s="15" t="s">
        <v>72</v>
      </c>
      <c r="C50" s="16">
        <v>1</v>
      </c>
      <c r="D50" s="16">
        <v>24</v>
      </c>
      <c r="E50" s="16">
        <v>23.9</v>
      </c>
      <c r="F50" s="16">
        <f t="shared" si="0"/>
        <v>6.4597500000000002E-2</v>
      </c>
      <c r="G50" s="17"/>
      <c r="H50" s="16"/>
      <c r="I50" s="16"/>
      <c r="J50" s="16"/>
      <c r="K50" s="16"/>
      <c r="L50" s="44"/>
      <c r="M50" s="44"/>
      <c r="N50" s="44"/>
      <c r="O50" s="44"/>
      <c r="P50" s="16"/>
      <c r="Q50" s="19"/>
      <c r="R50">
        <v>63.8</v>
      </c>
      <c r="S50">
        <v>45</v>
      </c>
      <c r="T50">
        <v>22.5</v>
      </c>
      <c r="U50">
        <f t="shared" si="4"/>
        <v>6.4597500000000002E-2</v>
      </c>
    </row>
    <row r="51" spans="1:21" x14ac:dyDescent="0.4">
      <c r="A51" s="14"/>
      <c r="B51" s="15" t="s">
        <v>73</v>
      </c>
      <c r="C51" s="16">
        <v>1</v>
      </c>
      <c r="D51" s="16">
        <v>24</v>
      </c>
      <c r="E51" s="16">
        <v>24.9</v>
      </c>
      <c r="F51" s="16">
        <f t="shared" si="0"/>
        <v>7.8952499999999995E-2</v>
      </c>
      <c r="G51" s="17"/>
      <c r="H51" s="16"/>
      <c r="I51" s="16"/>
      <c r="J51" s="16"/>
      <c r="K51" s="16"/>
      <c r="L51" s="44"/>
      <c r="M51" s="44"/>
      <c r="N51" s="44"/>
      <c r="O51" s="44"/>
      <c r="P51" s="16"/>
      <c r="Q51" s="19"/>
      <c r="R51">
        <v>63.8</v>
      </c>
      <c r="S51">
        <v>45</v>
      </c>
      <c r="T51">
        <v>27.5</v>
      </c>
      <c r="U51">
        <f t="shared" si="4"/>
        <v>7.8952499999999995E-2</v>
      </c>
    </row>
    <row r="52" spans="1:21" x14ac:dyDescent="0.4">
      <c r="A52" s="14"/>
      <c r="B52" s="15" t="s">
        <v>74</v>
      </c>
      <c r="C52" s="16">
        <v>1</v>
      </c>
      <c r="D52" s="16">
        <v>24</v>
      </c>
      <c r="E52" s="16">
        <v>25.8</v>
      </c>
      <c r="F52" s="16">
        <f t="shared" si="0"/>
        <v>9.512864E-2</v>
      </c>
      <c r="G52" s="17"/>
      <c r="H52" s="16"/>
      <c r="I52" s="16"/>
      <c r="J52" s="16"/>
      <c r="K52" s="16"/>
      <c r="L52" s="44"/>
      <c r="M52" s="44"/>
      <c r="N52" s="44"/>
      <c r="O52" s="44"/>
      <c r="P52" s="16"/>
      <c r="Q52" s="19"/>
      <c r="R52">
        <v>63.2</v>
      </c>
      <c r="S52">
        <v>56.8</v>
      </c>
      <c r="T52">
        <v>26.5</v>
      </c>
      <c r="U52">
        <f t="shared" si="4"/>
        <v>9.512864E-2</v>
      </c>
    </row>
    <row r="53" spans="1:21" x14ac:dyDescent="0.4">
      <c r="A53" s="14"/>
      <c r="B53" s="15" t="s">
        <v>75</v>
      </c>
      <c r="C53" s="16">
        <v>1</v>
      </c>
      <c r="D53" s="16">
        <v>40</v>
      </c>
      <c r="E53" s="16">
        <v>21.8</v>
      </c>
      <c r="F53" s="16">
        <f t="shared" si="0"/>
        <v>0.10384416</v>
      </c>
      <c r="G53" s="17"/>
      <c r="H53" s="16"/>
      <c r="I53" s="16"/>
      <c r="J53" s="16"/>
      <c r="K53" s="16"/>
      <c r="L53" s="44"/>
      <c r="M53" s="44"/>
      <c r="N53" s="44"/>
      <c r="O53" s="44"/>
      <c r="P53" s="16"/>
      <c r="Q53" s="19"/>
      <c r="R53">
        <v>51</v>
      </c>
      <c r="S53">
        <v>50.4</v>
      </c>
      <c r="T53">
        <v>40.4</v>
      </c>
      <c r="U53">
        <f t="shared" si="4"/>
        <v>0.10384416</v>
      </c>
    </row>
    <row r="54" spans="1:21" x14ac:dyDescent="0.4">
      <c r="A54" s="14"/>
      <c r="B54" s="15" t="s">
        <v>76</v>
      </c>
      <c r="C54" s="16">
        <v>1</v>
      </c>
      <c r="D54" s="16">
        <v>30</v>
      </c>
      <c r="E54" s="16">
        <v>27.8</v>
      </c>
      <c r="F54" s="16">
        <f t="shared" si="0"/>
        <v>0.15993472</v>
      </c>
      <c r="G54" s="17"/>
      <c r="H54" s="16"/>
      <c r="I54" s="16"/>
      <c r="J54" s="16"/>
      <c r="K54" s="16"/>
      <c r="L54" s="44"/>
      <c r="M54" s="44"/>
      <c r="N54" s="44"/>
      <c r="O54" s="44"/>
      <c r="P54" s="16"/>
      <c r="Q54" s="19"/>
      <c r="R54">
        <v>74</v>
      </c>
      <c r="S54">
        <v>70.400000000000006</v>
      </c>
      <c r="T54">
        <v>30.7</v>
      </c>
      <c r="U54">
        <f t="shared" si="4"/>
        <v>0.15993472</v>
      </c>
    </row>
    <row r="55" spans="1:21" ht="14.25" thickBot="1" x14ac:dyDescent="0.45">
      <c r="A55" s="23"/>
      <c r="B55" s="24" t="s">
        <v>77</v>
      </c>
      <c r="C55" s="25">
        <v>1</v>
      </c>
      <c r="D55" s="25">
        <v>30</v>
      </c>
      <c r="E55" s="25">
        <v>24.8</v>
      </c>
      <c r="F55" s="16">
        <f t="shared" si="0"/>
        <v>0.12817440000000002</v>
      </c>
      <c r="G55" s="30"/>
      <c r="H55" s="25"/>
      <c r="I55" s="25"/>
      <c r="J55" s="25"/>
      <c r="K55" s="25"/>
      <c r="L55" s="45"/>
      <c r="M55" s="45"/>
      <c r="N55" s="45"/>
      <c r="O55" s="45"/>
      <c r="P55" s="25"/>
      <c r="Q55" s="29"/>
      <c r="R55">
        <v>69</v>
      </c>
      <c r="S55">
        <v>64.5</v>
      </c>
      <c r="T55">
        <v>28.8</v>
      </c>
      <c r="U55">
        <f t="shared" si="4"/>
        <v>0.12817440000000002</v>
      </c>
    </row>
    <row r="56" spans="1:21" ht="14.25" thickTop="1" x14ac:dyDescent="0.4">
      <c r="A56" s="14" t="s">
        <v>78</v>
      </c>
      <c r="B56" s="15" t="s">
        <v>79</v>
      </c>
      <c r="C56" s="16">
        <v>2</v>
      </c>
      <c r="D56" s="16">
        <v>60</v>
      </c>
      <c r="E56" s="16">
        <v>10.6</v>
      </c>
      <c r="F56" s="16">
        <f t="shared" si="0"/>
        <v>8.7984000000000007E-2</v>
      </c>
      <c r="G56" s="17"/>
      <c r="H56" s="16"/>
      <c r="I56" s="16"/>
      <c r="J56" s="16"/>
      <c r="K56" s="16"/>
      <c r="L56" s="44"/>
      <c r="M56" s="44"/>
      <c r="N56" s="44"/>
      <c r="O56" s="44"/>
      <c r="P56" s="16"/>
      <c r="Q56" s="19"/>
      <c r="R56">
        <v>48</v>
      </c>
      <c r="S56">
        <v>39</v>
      </c>
      <c r="T56">
        <v>47</v>
      </c>
      <c r="U56">
        <f>C56*R56*S56*T56/1000000</f>
        <v>0.17596800000000001</v>
      </c>
    </row>
    <row r="57" spans="1:21" x14ac:dyDescent="0.4">
      <c r="A57" s="14"/>
      <c r="B57" s="15" t="s">
        <v>80</v>
      </c>
      <c r="C57" s="16">
        <v>2</v>
      </c>
      <c r="D57" s="16">
        <v>60</v>
      </c>
      <c r="E57" s="16">
        <v>7.3</v>
      </c>
      <c r="F57" s="16">
        <f t="shared" si="0"/>
        <v>9.9484000000000017E-2</v>
      </c>
      <c r="G57" s="17"/>
      <c r="H57" s="16"/>
      <c r="I57" s="16"/>
      <c r="J57" s="16"/>
      <c r="K57" s="16"/>
      <c r="L57" s="44"/>
      <c r="M57" s="44"/>
      <c r="N57" s="44"/>
      <c r="O57" s="44"/>
      <c r="P57" s="16"/>
      <c r="Q57" s="19"/>
      <c r="R57">
        <v>53.2</v>
      </c>
      <c r="S57">
        <v>44</v>
      </c>
      <c r="T57">
        <v>42.5</v>
      </c>
      <c r="U57">
        <f>C57*R57*S57*T57/1000000</f>
        <v>0.19896800000000003</v>
      </c>
    </row>
    <row r="58" spans="1:21" x14ac:dyDescent="0.4">
      <c r="A58" s="14"/>
      <c r="B58" s="15" t="s">
        <v>81</v>
      </c>
      <c r="C58" s="16">
        <v>2</v>
      </c>
      <c r="D58" s="16">
        <v>60</v>
      </c>
      <c r="E58" s="16">
        <v>10.4</v>
      </c>
      <c r="F58" s="16">
        <f t="shared" si="0"/>
        <v>0.12707499999999999</v>
      </c>
      <c r="G58" s="17"/>
      <c r="H58" s="16"/>
      <c r="I58" s="16"/>
      <c r="J58" s="16"/>
      <c r="K58" s="16"/>
      <c r="L58" s="44"/>
      <c r="M58" s="44"/>
      <c r="N58" s="44"/>
      <c r="O58" s="44"/>
      <c r="P58" s="16"/>
      <c r="Q58" s="19"/>
      <c r="R58">
        <v>52</v>
      </c>
      <c r="S58">
        <v>42.5</v>
      </c>
      <c r="T58">
        <v>57.5</v>
      </c>
      <c r="U58">
        <f>C58*R58*S58*T58/1000000</f>
        <v>0.25414999999999999</v>
      </c>
    </row>
    <row r="59" spans="1:21" s="37" customFormat="1" ht="14.25" thickBot="1" x14ac:dyDescent="0.45">
      <c r="A59" s="31" t="s">
        <v>82</v>
      </c>
      <c r="B59" s="32"/>
      <c r="C59" s="33">
        <f>SUM(C5:C29,C30:C55,C56:C58)</f>
        <v>93</v>
      </c>
      <c r="D59" s="32"/>
      <c r="E59" s="32"/>
      <c r="F59" s="32"/>
      <c r="G59" s="32"/>
      <c r="H59" s="34">
        <f>SUM(N5:N29,N30:N55,N56:N58)</f>
        <v>0</v>
      </c>
      <c r="I59" s="34"/>
      <c r="J59" s="34"/>
      <c r="K59" s="34"/>
      <c r="L59" s="32" t="s">
        <v>84</v>
      </c>
      <c r="M59" s="32"/>
      <c r="N59" s="35">
        <f>SUM(O5:O29,O30:O55,O56:O58)</f>
        <v>0</v>
      </c>
      <c r="O59" s="32" t="s">
        <v>85</v>
      </c>
      <c r="P59" s="32"/>
      <c r="Q59" s="36">
        <f>SUM(Q5:Q29,Q30:Q55,Q56:Q58)</f>
        <v>0</v>
      </c>
      <c r="U59">
        <f>SUM(U5:U58)</f>
        <v>10.024330609</v>
      </c>
    </row>
    <row r="60" spans="1:21" ht="14.25" thickTop="1" x14ac:dyDescent="0.4"/>
    <row r="62" spans="1:21" ht="15.75" x14ac:dyDescent="0.4">
      <c r="A62" s="38" t="s">
        <v>86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</row>
    <row r="63" spans="1:21" x14ac:dyDescent="0.4">
      <c r="A63" s="39" t="s">
        <v>87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 spans="1:21" ht="15.75" x14ac:dyDescent="0.4">
      <c r="A64" s="38" t="s">
        <v>88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spans="1:17" ht="15.75" x14ac:dyDescent="0.4">
      <c r="A65" s="38" t="s">
        <v>89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1:17" ht="15.75" x14ac:dyDescent="0.4">
      <c r="A66" s="38" t="s">
        <v>90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 spans="1:17" x14ac:dyDescent="0.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 x14ac:dyDescent="0.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</sheetData>
  <mergeCells count="34">
    <mergeCell ref="O3:O4"/>
    <mergeCell ref="P3:P4"/>
    <mergeCell ref="Q3:Q4"/>
    <mergeCell ref="A68:Q68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62:Q62"/>
    <mergeCell ref="A63:Q63"/>
    <mergeCell ref="A64:Q64"/>
    <mergeCell ref="A65:Q65"/>
    <mergeCell ref="A66:Q66"/>
    <mergeCell ref="A67:Q67"/>
    <mergeCell ref="A56:A58"/>
    <mergeCell ref="A59:B59"/>
    <mergeCell ref="D59:G59"/>
    <mergeCell ref="L59:M59"/>
    <mergeCell ref="O59:P59"/>
    <mergeCell ref="A43:A47"/>
    <mergeCell ref="A48:A55"/>
    <mergeCell ref="A30:A36"/>
    <mergeCell ref="A37:A42"/>
    <mergeCell ref="A5:A21"/>
    <mergeCell ref="A22:A29"/>
    <mergeCell ref="A1:Q1"/>
    <mergeCell ref="L3:L4"/>
    <mergeCell ref="M3:M4"/>
    <mergeCell ref="N3:N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2025-05-17T15:52:13Z</dcterms:created>
  <dcterms:modified xsi:type="dcterms:W3CDTF">2025-05-17T16:00:39Z</dcterms:modified>
</cp:coreProperties>
</file>